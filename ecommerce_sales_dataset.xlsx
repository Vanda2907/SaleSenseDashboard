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a3f87356dc198f/Desktop/DA Project/"/>
    </mc:Choice>
  </mc:AlternateContent>
  <xr:revisionPtr revIDLastSave="152" documentId="11_DF0A3CD3F291ECF81A170B8653DFC82F5028CEF6" xr6:coauthVersionLast="47" xr6:coauthVersionMax="47" xr10:uidLastSave="{C6CB0259-95B2-4B65-BF98-D64DC72BE012}"/>
  <bookViews>
    <workbookView xWindow="-108" yWindow="-108" windowWidth="23256" windowHeight="12456" xr2:uid="{00000000-000D-0000-FFFF-FFFF00000000}"/>
  </bookViews>
  <sheets>
    <sheet name="Worksheet" sheetId="1" r:id="rId1"/>
    <sheet name="Worksheet vs Analysis" sheetId="2" r:id="rId2"/>
    <sheet name="Worksheet vs Graph Analysis" sheetId="3" r:id="rId3"/>
  </sheets>
  <definedNames>
    <definedName name="_xlnm._FilterDatabase" localSheetId="0" hidden="1">Worksheet!$A$1:$O$501</definedName>
  </definedNames>
  <calcPr calcId="191029"/>
  <pivotCaches>
    <pivotCache cacheId="0" r:id="rId4"/>
    <pivotCache cacheId="1" r:id="rId5"/>
  </pivotCaches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2" i="1"/>
</calcChain>
</file>

<file path=xl/sharedStrings.xml><?xml version="1.0" encoding="utf-8"?>
<sst xmlns="http://schemas.openxmlformats.org/spreadsheetml/2006/main" count="4609" uniqueCount="854">
  <si>
    <t>Order ID</t>
  </si>
  <si>
    <t>Order Date</t>
  </si>
  <si>
    <t>Region</t>
  </si>
  <si>
    <t>Category</t>
  </si>
  <si>
    <t>Sub-Category</t>
  </si>
  <si>
    <t>Cost Price/item</t>
  </si>
  <si>
    <t>Profit</t>
  </si>
  <si>
    <t>Item Name</t>
  </si>
  <si>
    <t>Store Name</t>
  </si>
  <si>
    <t>Store Branch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</si>
  <si>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</si>
  <si>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</si>
  <si>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</si>
  <si>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</si>
  <si>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</si>
  <si>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</si>
  <si>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</si>
  <si>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</si>
  <si>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</si>
  <si>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</si>
  <si>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</si>
  <si>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</si>
  <si>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</si>
  <si>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</si>
  <si>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</si>
  <si>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</si>
  <si>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</si>
  <si>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</si>
  <si>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</si>
  <si>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</si>
  <si>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</si>
  <si>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</si>
  <si>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</si>
  <si>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</si>
  <si>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</si>
  <si>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</si>
  <si>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</si>
  <si>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</si>
  <si>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</si>
  <si>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</si>
  <si>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</si>
  <si>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</si>
  <si>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</si>
  <si>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</si>
  <si>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</si>
  <si>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</si>
  <si>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</si>
  <si>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</si>
  <si>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</si>
  <si>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</si>
  <si>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</si>
  <si>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</si>
  <si>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</si>
  <si>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</si>
  <si>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</si>
  <si>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</si>
  <si>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</si>
  <si>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</si>
  <si>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</si>
  <si>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</si>
  <si>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</si>
  <si>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</si>
  <si>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</si>
  <si>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</si>
  <si>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</si>
  <si>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</si>
  <si>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</si>
  <si>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</si>
  <si>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</si>
  <si>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</si>
  <si>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</si>
  <si>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</si>
  <si>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</si>
  <si>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</si>
  <si>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</si>
  <si>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</si>
  <si>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</si>
  <si>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</si>
  <si>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</si>
  <si>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</si>
  <si>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</si>
  <si>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</si>
  <si>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</si>
  <si>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</si>
  <si>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</si>
  <si>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</si>
  <si>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</si>
  <si>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</si>
  <si>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</si>
  <si>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</si>
  <si>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</si>
  <si>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</si>
  <si>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</si>
  <si>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</si>
  <si>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</si>
  <si>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</si>
  <si>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</si>
  <si>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</si>
  <si>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</si>
  <si>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</si>
  <si>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</si>
  <si>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</si>
  <si>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</si>
  <si>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</si>
  <si>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</si>
  <si>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</si>
  <si>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</si>
  <si>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</si>
  <si>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</si>
  <si>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</si>
  <si>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</si>
  <si>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</si>
  <si>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</si>
  <si>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</si>
  <si>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</si>
  <si>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</si>
  <si>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</si>
  <si>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</si>
  <si>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</si>
  <si>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</si>
  <si>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</si>
  <si>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</si>
  <si>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</si>
  <si>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</si>
  <si>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</si>
  <si>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</si>
  <si>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</si>
  <si>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</si>
  <si>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</si>
  <si>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</si>
  <si>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</si>
  <si>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</si>
  <si>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</si>
  <si>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</si>
  <si>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</si>
  <si>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</si>
  <si>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</si>
  <si>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</si>
  <si>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</si>
  <si>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</si>
  <si>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</si>
  <si>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</si>
  <si>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</si>
  <si>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</si>
  <si>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</si>
  <si>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</si>
  <si>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</si>
  <si>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</si>
  <si>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</si>
  <si>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</si>
  <si>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</si>
  <si>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</si>
  <si>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</si>
  <si>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</si>
  <si>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</si>
  <si>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</si>
  <si>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</si>
  <si>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</si>
  <si>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</si>
  <si>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</si>
  <si>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</si>
  <si>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</si>
  <si>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</si>
  <si>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</si>
  <si>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</si>
  <si>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</si>
  <si>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</si>
  <si>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</si>
  <si>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</si>
  <si>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</si>
  <si>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</si>
  <si>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</si>
  <si>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</si>
  <si>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</si>
  <si>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</si>
  <si>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</si>
  <si>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</si>
  <si>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</si>
  <si>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</si>
  <si>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</si>
  <si>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</si>
  <si>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</si>
  <si>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</si>
  <si>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</si>
  <si>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</si>
  <si>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</si>
  <si>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</si>
  <si>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</si>
  <si>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</si>
  <si>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</si>
  <si>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</si>
  <si>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</si>
  <si>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</si>
  <si>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</si>
  <si>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</si>
  <si>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</si>
  <si>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</si>
  <si>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</si>
  <si>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</si>
  <si>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</si>
  <si>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</si>
  <si>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</si>
  <si>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</si>
  <si>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</si>
  <si>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</si>
  <si>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</si>
  <si>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</si>
  <si>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</si>
  <si>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</si>
  <si>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</si>
  <si>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</si>
  <si>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</si>
  <si>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</si>
  <si>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</si>
  <si>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</si>
  <si>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</si>
  <si>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</si>
  <si>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</si>
  <si>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</si>
  <si>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</si>
  <si>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</si>
  <si>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</si>
  <si>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</si>
  <si>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</si>
  <si>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</si>
  <si>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</si>
  <si>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</si>
  <si>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</si>
  <si>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</si>
  <si>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</si>
  <si>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</si>
  <si>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</si>
  <si>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</si>
  <si>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</si>
  <si>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</si>
  <si>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</si>
  <si>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</si>
  <si>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</si>
  <si>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</si>
  <si>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</si>
  <si>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</si>
  <si>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</si>
  <si>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</si>
  <si>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</si>
  <si>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</si>
  <si>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</si>
  <si>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</si>
  <si>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</si>
  <si>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</si>
  <si>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</si>
  <si>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</si>
  <si>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</si>
  <si>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</si>
  <si>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</si>
  <si>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</si>
  <si>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</si>
  <si>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</si>
  <si>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</si>
  <si>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</si>
  <si>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</si>
  <si>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</si>
  <si>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</si>
  <si>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</si>
  <si>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</si>
  <si>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</si>
  <si>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</si>
  <si>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</si>
  <si>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</si>
  <si>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</si>
  <si>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</si>
  <si>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</si>
  <si>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</si>
  <si>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</si>
  <si>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</si>
  <si>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</si>
  <si>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</si>
  <si>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</si>
  <si>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</si>
  <si>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</si>
  <si>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</si>
  <si>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</si>
  <si>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</si>
  <si>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</si>
  <si>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</si>
  <si>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</si>
  <si>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</si>
  <si>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</si>
  <si>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</si>
  <si>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</si>
  <si>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</si>
  <si>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</si>
  <si>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</si>
  <si>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</si>
  <si>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</si>
  <si>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</si>
  <si>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</si>
  <si>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</si>
  <si>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</si>
  <si>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</si>
  <si>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</si>
  <si>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</si>
  <si>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</si>
  <si>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</si>
  <si>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</si>
  <si>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</si>
  <si>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</si>
  <si>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</si>
  <si>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</si>
  <si>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</si>
  <si>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</si>
  <si>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</si>
  <si>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</si>
  <si>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</si>
  <si>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</si>
  <si>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</si>
  <si>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</si>
  <si>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</si>
  <si>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</si>
  <si>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</si>
  <si>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</si>
  <si>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</si>
  <si>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</si>
  <si>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</si>
  <si>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</si>
  <si>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</si>
  <si>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</si>
  <si>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</si>
  <si>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</si>
  <si>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</si>
  <si>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</si>
  <si>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</si>
  <si>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</si>
  <si>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</si>
  <si>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</si>
  <si>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</si>
  <si>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</si>
  <si>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</si>
  <si>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</si>
  <si>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</si>
  <si>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</si>
  <si>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</si>
  <si>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</si>
  <si>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</si>
  <si>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</si>
  <si>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</si>
  <si>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</si>
  <si>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</si>
  <si>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</si>
  <si>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</si>
  <si>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</si>
  <si>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</si>
  <si>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</si>
  <si>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</si>
  <si>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</si>
  <si>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</si>
  <si>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</si>
  <si>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</si>
  <si>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</si>
  <si>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</si>
  <si>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</si>
  <si>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</si>
  <si>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</si>
  <si>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</si>
  <si>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</si>
  <si>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</si>
  <si>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</si>
  <si>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</si>
  <si>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</si>
  <si>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</si>
  <si>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</si>
  <si>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</si>
  <si>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</si>
  <si>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</si>
  <si>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</si>
  <si>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</si>
  <si>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</si>
  <si>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</si>
  <si>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</si>
  <si>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</si>
  <si>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</si>
  <si>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</si>
  <si>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</si>
  <si>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</si>
  <si>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</si>
  <si>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</si>
  <si>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</si>
  <si>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</si>
  <si>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</si>
  <si>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</si>
  <si>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</si>
  <si>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</si>
  <si>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</si>
  <si>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</si>
  <si>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</si>
  <si>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</si>
  <si>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</si>
  <si>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</si>
  <si>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</si>
  <si>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</si>
  <si>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</si>
  <si>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</si>
  <si>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</si>
  <si>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</si>
  <si>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</si>
  <si>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</si>
  <si>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</si>
  <si>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</si>
  <si>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</si>
  <si>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</si>
  <si>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</si>
  <si>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</si>
  <si>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</si>
  <si>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</si>
  <si>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</si>
  <si>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</si>
  <si>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</si>
  <si>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</si>
  <si>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</si>
  <si>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</si>
  <si>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</si>
  <si>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</si>
  <si>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</si>
  <si>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</si>
  <si>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</si>
  <si>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</si>
  <si>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</si>
  <si>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</si>
  <si>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</si>
  <si>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</si>
  <si>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</si>
  <si>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</si>
  <si>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</si>
  <si>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</si>
  <si>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</si>
  <si>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</si>
  <si>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</si>
  <si>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</si>
  <si>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</si>
  <si>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</si>
  <si>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</si>
  <si>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</si>
  <si>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</si>
  <si>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</si>
  <si>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</si>
  <si>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</si>
  <si>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</si>
  <si>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</si>
  <si>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</si>
  <si>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</si>
  <si>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</si>
  <si>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</si>
  <si>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</si>
  <si>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</si>
  <si>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</si>
  <si>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</si>
  <si>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</si>
  <si>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</si>
  <si>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</si>
  <si>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</si>
  <si>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</si>
  <si>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</si>
  <si>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</si>
  <si>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</si>
  <si>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</si>
  <si>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</si>
  <si>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</si>
  <si>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</si>
  <si>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</si>
  <si>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</si>
  <si>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</si>
  <si>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</si>
  <si>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</si>
  <si>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</si>
  <si>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</si>
  <si>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</si>
  <si>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</si>
  <si>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</si>
  <si>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</si>
  <si>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</si>
  <si>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</si>
  <si>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</si>
  <si>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</si>
  <si>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</si>
  <si>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</si>
  <si>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</si>
  <si>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</si>
  <si>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</si>
  <si>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</si>
  <si>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</si>
  <si>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</si>
  <si>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</si>
  <si>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</si>
  <si>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</si>
  <si>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</si>
  <si>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</si>
  <si>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</si>
  <si>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</si>
  <si>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</si>
  <si>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</si>
  <si>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</si>
  <si>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</si>
  <si>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</si>
  <si>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</si>
  <si>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</si>
  <si>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</si>
  <si>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</si>
  <si>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</si>
  <si>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</si>
  <si>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</si>
  <si>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</si>
  <si>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2024-10-26</t>
  </si>
  <si>
    <t>2024-04-10</t>
  </si>
  <si>
    <t>2024-05-11</t>
  </si>
  <si>
    <t>2024-04-03</t>
  </si>
  <si>
    <t>2024-09-06</t>
  </si>
  <si>
    <t>2024-09-05</t>
  </si>
  <si>
    <t>2024-07-06</t>
  </si>
  <si>
    <t>2024-08-17</t>
  </si>
  <si>
    <t>2024-10-15</t>
  </si>
  <si>
    <t>2024-11-24</t>
  </si>
  <si>
    <t>2024-06-02</t>
  </si>
  <si>
    <t>2024-08-13</t>
  </si>
  <si>
    <t>2024-06-28</t>
  </si>
  <si>
    <t>2024-06-15</t>
  </si>
  <si>
    <t>2024-01-06</t>
  </si>
  <si>
    <t>2024-05-20</t>
  </si>
  <si>
    <t>2024-07-05</t>
  </si>
  <si>
    <t>2024-02-11</t>
  </si>
  <si>
    <t>2024-01-07</t>
  </si>
  <si>
    <t>2024-02-04</t>
  </si>
  <si>
    <t>2024-11-09</t>
  </si>
  <si>
    <t>2024-05-28</t>
  </si>
  <si>
    <t>2024-06-25</t>
  </si>
  <si>
    <t>2024-01-15</t>
  </si>
  <si>
    <t>2024-06-21</t>
  </si>
  <si>
    <t>2024-07-24</t>
  </si>
  <si>
    <t>2024-07-15</t>
  </si>
  <si>
    <t>2024-07-10</t>
  </si>
  <si>
    <t>2024-03-02</t>
  </si>
  <si>
    <t>2024-11-02</t>
  </si>
  <si>
    <t>2024-03-26</t>
  </si>
  <si>
    <t>2024-09-24</t>
  </si>
  <si>
    <t>2024-12-14</t>
  </si>
  <si>
    <t>2024-03-08</t>
  </si>
  <si>
    <t>2024-11-13</t>
  </si>
  <si>
    <t>2024-09-15</t>
  </si>
  <si>
    <t>2024-01-02</t>
  </si>
  <si>
    <t>2024-09-21</t>
  </si>
  <si>
    <t>2024-11-14</t>
  </si>
  <si>
    <t>2024-05-16</t>
  </si>
  <si>
    <t>2024-11-21</t>
  </si>
  <si>
    <t>2024-04-02</t>
  </si>
  <si>
    <t>2024-10-18</t>
  </si>
  <si>
    <t>2024-04-22</t>
  </si>
  <si>
    <t>2024-08-28</t>
  </si>
  <si>
    <t>2024-07-11</t>
  </si>
  <si>
    <t>2024-10-28</t>
  </si>
  <si>
    <t>2024-08-06</t>
  </si>
  <si>
    <t>2024-12-08</t>
  </si>
  <si>
    <t>2024-05-06</t>
  </si>
  <si>
    <t>2024-11-19</t>
  </si>
  <si>
    <t>2024-11-16</t>
  </si>
  <si>
    <t>2024-02-26</t>
  </si>
  <si>
    <t>2024-05-02</t>
  </si>
  <si>
    <t>2024-10-09</t>
  </si>
  <si>
    <t>2024-12-17</t>
  </si>
  <si>
    <t>2024-12-30</t>
  </si>
  <si>
    <t>2024-11-30</t>
  </si>
  <si>
    <t>2024-01-30</t>
  </si>
  <si>
    <t>2024-02-24</t>
  </si>
  <si>
    <t>2024-03-30</t>
  </si>
  <si>
    <t>2024-10-11</t>
  </si>
  <si>
    <t>2024-05-03</t>
  </si>
  <si>
    <t>2024-09-19</t>
  </si>
  <si>
    <t>2024-07-20</t>
  </si>
  <si>
    <t>2024-06-08</t>
  </si>
  <si>
    <t>2024-11-15</t>
  </si>
  <si>
    <t>2024-11-06</t>
  </si>
  <si>
    <t>2024-01-12</t>
  </si>
  <si>
    <t>2024-08-11</t>
  </si>
  <si>
    <t>2024-01-25</t>
  </si>
  <si>
    <t>2024-05-09</t>
  </si>
  <si>
    <t>2024-04-23</t>
  </si>
  <si>
    <t>2024-02-08</t>
  </si>
  <si>
    <t>2024-01-01</t>
  </si>
  <si>
    <t>2024-09-26</t>
  </si>
  <si>
    <t>2024-03-04</t>
  </si>
  <si>
    <t>2024-11-26</t>
  </si>
  <si>
    <t>2024-01-19</t>
  </si>
  <si>
    <t>2024-09-02</t>
  </si>
  <si>
    <t>2024-07-12</t>
  </si>
  <si>
    <t>2024-12-31</t>
  </si>
  <si>
    <t>2024-10-30</t>
  </si>
  <si>
    <t>2024-03-14</t>
  </si>
  <si>
    <t>2024-01-21</t>
  </si>
  <si>
    <t>2024-09-28</t>
  </si>
  <si>
    <t>2024-03-12</t>
  </si>
  <si>
    <t>2024-05-01</t>
  </si>
  <si>
    <t>2024-12-11</t>
  </si>
  <si>
    <t>2024-07-29</t>
  </si>
  <si>
    <t>2024-12-06</t>
  </si>
  <si>
    <t>2024-03-21</t>
  </si>
  <si>
    <t>2024-10-23</t>
  </si>
  <si>
    <t>2024-05-22</t>
  </si>
  <si>
    <t>2024-04-29</t>
  </si>
  <si>
    <t>2024-04-01</t>
  </si>
  <si>
    <t>2024-06-12</t>
  </si>
  <si>
    <t>2024-07-14</t>
  </si>
  <si>
    <t>2024-08-22</t>
  </si>
  <si>
    <t>2024-02-10</t>
  </si>
  <si>
    <t>2024-05-04</t>
  </si>
  <si>
    <t>2024-03-20</t>
  </si>
  <si>
    <t>2024-11-28</t>
  </si>
  <si>
    <t>2024-11-05</t>
  </si>
  <si>
    <t>2024-07-30</t>
  </si>
  <si>
    <t>2024-03-28</t>
  </si>
  <si>
    <t>2024-12-13</t>
  </si>
  <si>
    <t>2024-02-22</t>
  </si>
  <si>
    <t>2024-09-30</t>
  </si>
  <si>
    <t>2024-02-16</t>
  </si>
  <si>
    <t>2024-07-22</t>
  </si>
  <si>
    <t>2024-11-01</t>
  </si>
  <si>
    <t>2024-05-21</t>
  </si>
  <si>
    <t>2024-04-30</t>
  </si>
  <si>
    <t>2024-12-29</t>
  </si>
  <si>
    <t>2024-06-03</t>
  </si>
  <si>
    <t>2024-06-04</t>
  </si>
  <si>
    <t>2024-07-18</t>
  </si>
  <si>
    <t>2024-06-23</t>
  </si>
  <si>
    <t>2024-05-12</t>
  </si>
  <si>
    <t>2024-05-25</t>
  </si>
  <si>
    <t>2024-03-27</t>
  </si>
  <si>
    <t>2024-08-15</t>
  </si>
  <si>
    <t>2024-03-19</t>
  </si>
  <si>
    <t>2024-05-14</t>
  </si>
  <si>
    <t>2024-07-02</t>
  </si>
  <si>
    <t>2024-08-12</t>
  </si>
  <si>
    <t>2024-04-16</t>
  </si>
  <si>
    <t>2024-05-07</t>
  </si>
  <si>
    <t>2024-06-09</t>
  </si>
  <si>
    <t>2024-11-25</t>
  </si>
  <si>
    <t>2024-11-20</t>
  </si>
  <si>
    <t>2024-01-28</t>
  </si>
  <si>
    <t>2024-10-01</t>
  </si>
  <si>
    <t>2024-08-19</t>
  </si>
  <si>
    <t>2024-11-10</t>
  </si>
  <si>
    <t>2024-09-29</t>
  </si>
  <si>
    <t>2024-05-27</t>
  </si>
  <si>
    <t>2024-07-21</t>
  </si>
  <si>
    <t>2024-10-02</t>
  </si>
  <si>
    <t>2024-01-18</t>
  </si>
  <si>
    <t>2024-12-18</t>
  </si>
  <si>
    <t>2024-11-27</t>
  </si>
  <si>
    <t>2024-10-06</t>
  </si>
  <si>
    <t>2024-03-16</t>
  </si>
  <si>
    <t>2024-11-29</t>
  </si>
  <si>
    <t>2024-10-31</t>
  </si>
  <si>
    <t>2024-03-07</t>
  </si>
  <si>
    <t>2024-10-24</t>
  </si>
  <si>
    <t>2024-06-17</t>
  </si>
  <si>
    <t>2024-08-29</t>
  </si>
  <si>
    <t>2024-08-30</t>
  </si>
  <si>
    <t>2024-09-25</t>
  </si>
  <si>
    <t>2024-02-17</t>
  </si>
  <si>
    <t>2024-07-09</t>
  </si>
  <si>
    <t>2024-12-26</t>
  </si>
  <si>
    <t>2024-07-16</t>
  </si>
  <si>
    <t>2024-08-02</t>
  </si>
  <si>
    <t>2024-01-09</t>
  </si>
  <si>
    <t>2024-12-16</t>
  </si>
  <si>
    <t>2024-11-07</t>
  </si>
  <si>
    <t>2024-04-14</t>
  </si>
  <si>
    <t>2024-08-24</t>
  </si>
  <si>
    <t>2024-02-15</t>
  </si>
  <si>
    <t>2024-09-13</t>
  </si>
  <si>
    <t>2024-04-18</t>
  </si>
  <si>
    <t>2024-09-07</t>
  </si>
  <si>
    <t>2024-10-04</t>
  </si>
  <si>
    <t>2024-07-17</t>
  </si>
  <si>
    <t>2024-02-12</t>
  </si>
  <si>
    <t>2024-04-25</t>
  </si>
  <si>
    <t>2024-07-23</t>
  </si>
  <si>
    <t>2024-12-20</t>
  </si>
  <si>
    <t>2024-09-03</t>
  </si>
  <si>
    <t>2024-07-31</t>
  </si>
  <si>
    <t>2024-08-20</t>
  </si>
  <si>
    <t>2024-03-25</t>
  </si>
  <si>
    <t>2024-09-11</t>
  </si>
  <si>
    <t>2024-01-16</t>
  </si>
  <si>
    <t>2024-08-23</t>
  </si>
  <si>
    <t>2024-11-17</t>
  </si>
  <si>
    <t>2024-04-06</t>
  </si>
  <si>
    <t>2024-10-17</t>
  </si>
  <si>
    <t>2024-01-05</t>
  </si>
  <si>
    <t>2024-12-22</t>
  </si>
  <si>
    <t>2024-10-25</t>
  </si>
  <si>
    <t>2024-04-04</t>
  </si>
  <si>
    <t>2024-11-11</t>
  </si>
  <si>
    <t>2024-02-29</t>
  </si>
  <si>
    <t>2024-12-05</t>
  </si>
  <si>
    <t>2024-07-19</t>
  </si>
  <si>
    <t>2024-07-13</t>
  </si>
  <si>
    <t>2024-12-15</t>
  </si>
  <si>
    <t>2024-06-16</t>
  </si>
  <si>
    <t>2024-10-14</t>
  </si>
  <si>
    <t>2024-12-04</t>
  </si>
  <si>
    <t>2024-06-30</t>
  </si>
  <si>
    <t>2024-05-10</t>
  </si>
  <si>
    <t>2024-08-14</t>
  </si>
  <si>
    <t>2024-03-10</t>
  </si>
  <si>
    <t>2024-04-08</t>
  </si>
  <si>
    <t>2024-10-22</t>
  </si>
  <si>
    <t>2024-04-26</t>
  </si>
  <si>
    <t>2024-08-16</t>
  </si>
  <si>
    <t>2024-02-19</t>
  </si>
  <si>
    <t>2024-03-15</t>
  </si>
  <si>
    <t>2024-12-01</t>
  </si>
  <si>
    <t>2024-09-10</t>
  </si>
  <si>
    <t>2024-06-13</t>
  </si>
  <si>
    <t>2024-08-04</t>
  </si>
  <si>
    <t>2024-02-02</t>
  </si>
  <si>
    <t>2024-08-10</t>
  </si>
  <si>
    <t>2024-04-13</t>
  </si>
  <si>
    <t>2024-09-01</t>
  </si>
  <si>
    <t>2024-03-01</t>
  </si>
  <si>
    <t>2024-01-11</t>
  </si>
  <si>
    <t>2024-09-14</t>
  </si>
  <si>
    <t>2024-02-05</t>
  </si>
  <si>
    <t>2024-06-27</t>
  </si>
  <si>
    <t>2024-06-26</t>
  </si>
  <si>
    <t>2024-01-13</t>
  </si>
  <si>
    <t>2024-04-19</t>
  </si>
  <si>
    <t>2024-02-21</t>
  </si>
  <si>
    <t>2024-10-21</t>
  </si>
  <si>
    <t>2024-03-06</t>
  </si>
  <si>
    <t>2024-04-05</t>
  </si>
  <si>
    <t>2024-10-29</t>
  </si>
  <si>
    <t>2024-01-08</t>
  </si>
  <si>
    <t>2024-12-07</t>
  </si>
  <si>
    <t>2024-02-14</t>
  </si>
  <si>
    <t>2024-09-08</t>
  </si>
  <si>
    <t>2024-12-23</t>
  </si>
  <si>
    <t>2024-10-13</t>
  </si>
  <si>
    <t>2024-01-27</t>
  </si>
  <si>
    <t>2024-02-03</t>
  </si>
  <si>
    <t>2024-01-04</t>
  </si>
  <si>
    <t>2024-06-14</t>
  </si>
  <si>
    <t>2024-02-20</t>
  </si>
  <si>
    <t>2024-04-07</t>
  </si>
  <si>
    <t>2024-08-01</t>
  </si>
  <si>
    <t>2024-08-08</t>
  </si>
  <si>
    <t>2024-02-01</t>
  </si>
  <si>
    <t>2024-03-17</t>
  </si>
  <si>
    <t>2024-01-03</t>
  </si>
  <si>
    <t>2024-06-05</t>
  </si>
  <si>
    <t>2024-12-12</t>
  </si>
  <si>
    <t>2024-07-08</t>
  </si>
  <si>
    <t>2024-04-12</t>
  </si>
  <si>
    <t>2024-05-24</t>
  </si>
  <si>
    <t>2024-12-25</t>
  </si>
  <si>
    <t>2024-01-23</t>
  </si>
  <si>
    <t>2024-03-24</t>
  </si>
  <si>
    <t>2024-03-31</t>
  </si>
  <si>
    <t>2024-04-21</t>
  </si>
  <si>
    <t>2024-11-12</t>
  </si>
  <si>
    <t>2024-04-24</t>
  </si>
  <si>
    <t>2024-12-09</t>
  </si>
  <si>
    <t>2024-11-18</t>
  </si>
  <si>
    <t>2024-09-17</t>
  </si>
  <si>
    <t>2024-06-24</t>
  </si>
  <si>
    <t>2024-10-08</t>
  </si>
  <si>
    <t>2024-02-25</t>
  </si>
  <si>
    <t>2024-02-28</t>
  </si>
  <si>
    <t>2024-06-07</t>
  </si>
  <si>
    <t>2024-04-15</t>
  </si>
  <si>
    <t>2024-06-11</t>
  </si>
  <si>
    <t>2024-06-29</t>
  </si>
  <si>
    <t>2024-05-17</t>
  </si>
  <si>
    <t>2024-05-23</t>
  </si>
  <si>
    <t>2024-11-22</t>
  </si>
  <si>
    <t>2024-03-22</t>
  </si>
  <si>
    <t>2024-06-01</t>
  </si>
  <si>
    <t>2024-05-30</t>
  </si>
  <si>
    <t>2024-09-27</t>
  </si>
  <si>
    <t>Neha Gupta</t>
  </si>
  <si>
    <t>Rahul Verma</t>
  </si>
  <si>
    <t>Amit Sharma</t>
  </si>
  <si>
    <t>Rohit Das</t>
  </si>
  <si>
    <t>Anjali Mehta</t>
  </si>
  <si>
    <t>Priya Singh</t>
  </si>
  <si>
    <t>South</t>
  </si>
  <si>
    <t>East</t>
  </si>
  <si>
    <t>North</t>
  </si>
  <si>
    <t>West</t>
  </si>
  <si>
    <t>Clothing</t>
  </si>
  <si>
    <t>Furniture</t>
  </si>
  <si>
    <t>Electronics</t>
  </si>
  <si>
    <t>Women Wear</t>
  </si>
  <si>
    <t>Chair</t>
  </si>
  <si>
    <t>Laptop</t>
  </si>
  <si>
    <t>Mobile</t>
  </si>
  <si>
    <t>Men Wear</t>
  </si>
  <si>
    <t>Accessories</t>
  </si>
  <si>
    <t>Table</t>
  </si>
  <si>
    <t>Laptop Dell</t>
  </si>
  <si>
    <t>Office Chair</t>
  </si>
  <si>
    <t>T-shirt</t>
  </si>
  <si>
    <t>Wooden Table</t>
  </si>
  <si>
    <t>Jeans</t>
  </si>
  <si>
    <t>Samsung TV</t>
  </si>
  <si>
    <t>iPhone</t>
  </si>
  <si>
    <t>IKEA</t>
  </si>
  <si>
    <t>Croma</t>
  </si>
  <si>
    <t>Pantaloons</t>
  </si>
  <si>
    <t>Reliance Digital</t>
  </si>
  <si>
    <t>Big Bazaar</t>
  </si>
  <si>
    <t>Delhi</t>
  </si>
  <si>
    <t>Kolkata</t>
  </si>
  <si>
    <t>Bangalore</t>
  </si>
  <si>
    <t>Hyderabad</t>
  </si>
  <si>
    <t>Mumbai</t>
  </si>
  <si>
    <t>Sales Person</t>
  </si>
  <si>
    <t xml:space="preserve">Item left </t>
  </si>
  <si>
    <t>Item Sold</t>
  </si>
  <si>
    <t>Sales</t>
  </si>
  <si>
    <t>Grand Total</t>
  </si>
  <si>
    <t>Total_Sales</t>
  </si>
  <si>
    <t>Total_Profit</t>
  </si>
  <si>
    <t>Sales_Persons</t>
  </si>
  <si>
    <t>Item_Name</t>
  </si>
  <si>
    <t>Store_Name</t>
  </si>
  <si>
    <t>Total Revenue</t>
  </si>
  <si>
    <t>Total Profit</t>
  </si>
  <si>
    <t>Total_Revenue</t>
  </si>
  <si>
    <t>Regions</t>
  </si>
  <si>
    <t xml:space="preserve">Total_Qty_Sold </t>
  </si>
  <si>
    <t>Total Sales</t>
  </si>
  <si>
    <t>Item Category</t>
  </si>
  <si>
    <t>Item Sub Category</t>
  </si>
  <si>
    <t>Month 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</si>
  <si>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</si>
  <si>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</si>
  <si>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</si>
  <si>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</si>
  <si>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</si>
  <si>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</si>
  <si>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</si>
  <si>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</si>
  <si>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</si>
  <si>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</si>
  <si>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</si>
  <si>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</si>
  <si>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(blank)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</si>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</sst>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4" xfId="0" applyFont="1" applyBorder="1" applyAlignment="1">
      <alignment horizontal="left" vertical="top"/>
    </xf>
    <xf numFmtId="2" fontId="1" fillId="0" borderId="2" xfId="0" applyNumberFormat="1" applyFont="1" applyBorder="1" applyAlignment="1">
      <alignment horizontal="left" vertical="top"/>
    </xf>
    <xf numFmtId="2" fontId="0" fillId="0" borderId="7" xfId="0" applyNumberFormat="1" applyBorder="1"/>
    <xf numFmtId="2" fontId="0" fillId="0" borderId="16" xfId="0" applyNumberFormat="1" applyBorder="1"/>
    <xf numFmtId="2" fontId="0" fillId="0" borderId="1" xfId="0" applyNumberFormat="1" applyBorder="1"/>
    <xf numFmtId="2" fontId="0" fillId="0" borderId="5" xfId="0" applyNumberFormat="1" applyBorder="1"/>
    <xf numFmtId="2" fontId="0" fillId="0" borderId="17" xfId="0" applyNumberFormat="1" applyBorder="1"/>
    <xf numFmtId="2" fontId="0" fillId="0" borderId="0" xfId="0" applyNumberFormat="1"/>
    <xf numFmtId="1" fontId="1" fillId="0" borderId="15" xfId="0" applyNumberFormat="1" applyFont="1" applyBorder="1" applyAlignment="1">
      <alignment horizontal="left" vertical="top"/>
    </xf>
    <xf numFmtId="1" fontId="1" fillId="0" borderId="2" xfId="0" applyNumberFormat="1" applyFont="1" applyBorder="1" applyAlignment="1">
      <alignment horizontal="left" vertical="top"/>
    </xf>
    <xf numFmtId="1" fontId="0" fillId="0" borderId="11" xfId="0" applyNumberFormat="1" applyBorder="1"/>
    <xf numFmtId="1" fontId="0" fillId="0" borderId="7" xfId="0" applyNumberFormat="1" applyBorder="1"/>
    <xf numFmtId="1" fontId="0" fillId="0" borderId="12" xfId="0" applyNumberFormat="1" applyBorder="1"/>
    <xf numFmtId="1" fontId="0" fillId="0" borderId="1" xfId="0" applyNumberFormat="1" applyBorder="1"/>
    <xf numFmtId="1" fontId="0" fillId="0" borderId="13" xfId="0" applyNumberFormat="1" applyBorder="1"/>
    <xf numFmtId="1" fontId="0" fillId="0" borderId="5" xfId="0" applyNumberFormat="1" applyBorder="1"/>
    <xf numFmtId="1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[ecommerce_sales_dataset.xlsx]Worksheet vs Analysis!PivotTable1</c:name>
    <c:fmtId val="19"/>
  </c:pivotSource>
  <c:chart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D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2D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2D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'Worksheet vs Analysis'!$C$2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'Worksheet vs Analysis'!$B$3:$B$9</c:f>
              <c:strCache>
                <c:ptCount val="6"/>
                <c:pt idx="0">
                  <c:v>Amit Sharma</c:v>
                </c:pt>
                <c:pt idx="1">
                  <c:v>Anjali Mehta</c:v>
                </c:pt>
                <c:pt idx="2">
                  <c:v>Neha Gupta</c:v>
                </c:pt>
                <c:pt idx="3">
                  <c:v>Priya Singh</c:v>
                </c:pt>
                <c:pt idx="4">
                  <c:v>Rahul Verma</c:v>
                </c:pt>
                <c:pt idx="5">
                  <c:v>Rohit Das</c:v>
                </c:pt>
              </c:strCache>
            </c:strRef>
          </c:cat>
          <c:val>
            <c:numRef>
              <c:f>'Worksheet vs Analysis'!$C$3:$C$9</c:f>
              <c:numCache>
                <c:formatCode>0.00</c:formatCode>
                <c:ptCount val="6"/>
                <c:pt idx="0">
                  <c:v>73034366.300000012</c:v>
                </c:pt>
                <c:pt idx="1">
                  <c:v>64420192.179999992</c:v>
                </c:pt>
                <c:pt idx="2">
                  <c:v>60748395.150000013</c:v>
                </c:pt>
                <c:pt idx="3">
                  <c:v>57816984.660000004</c:v>
                </c:pt>
                <c:pt idx="4">
                  <c:v>42281915.63000001</c:v>
                </c:pt>
                <c:pt idx="5">
                  <c:v>51805806.00999999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D-4E64-85CF-1C59B20EE0EA}"/>
            </c:ext>
          </c:extLst>
        </c:ser>
        <c:ser>
          <c:idx val="1"/>
          <c:order val="1"/>
          <c:tx>
            <c:strRef>
              <c:f>'Worksheet vs Analysis'!$D$2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'Worksheet vs Analysis'!$B$3:$B$9</c:f>
              <c:strCache>
                <c:ptCount val="6"/>
                <c:pt idx="0">
                  <c:v>Amit Sharma</c:v>
                </c:pt>
                <c:pt idx="1">
                  <c:v>Anjali Mehta</c:v>
                </c:pt>
                <c:pt idx="2">
                  <c:v>Neha Gupta</c:v>
                </c:pt>
                <c:pt idx="3">
                  <c:v>Priya Singh</c:v>
                </c:pt>
                <c:pt idx="4">
                  <c:v>Rahul Verma</c:v>
                </c:pt>
                <c:pt idx="5">
                  <c:v>Rohit Das</c:v>
                </c:pt>
              </c:strCache>
            </c:strRef>
          </c:cat>
          <c:val>
            <c:numRef>
              <c:f>'Worksheet vs Analysis'!$D$3:$D$9</c:f>
              <c:numCache>
                <c:formatCode>0.00</c:formatCode>
                <c:ptCount val="6"/>
                <c:pt idx="0">
                  <c:v>13005174.300000004</c:v>
                </c:pt>
                <c:pt idx="1">
                  <c:v>11458562.18</c:v>
                </c:pt>
                <c:pt idx="2">
                  <c:v>10814192.150000002</c:v>
                </c:pt>
                <c:pt idx="3">
                  <c:v>10296759.66</c:v>
                </c:pt>
                <c:pt idx="4">
                  <c:v>7511191.629999999</c:v>
                </c:pt>
                <c:pt idx="5">
                  <c:v>9205126.0099999998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0D-4E64-85CF-1C59B20EE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78168320"/>
        <c:axId val="278171200"/>
      </c:barChart>
      <c:catAx>
        <c:axId val="27816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71200"/>
        <c:crosses val="autoZero"/>
        <c:auto val="1"/>
        <c:lblAlgn val="ctr"/>
        <c:lblOffset val="100"/>
        <c:noMultiLvlLbl val="0"/>
      </c:catAx>
      <c:valAx>
        <c:axId val="27817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accent5">
        <a:lumMod val="5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[ecommerce_sales_dataset.xlsx]Worksheet vs Analysis!PivotTable6</c:name>
    <c:fmtId val="4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'Worksheet vs Analysis'!$C$11</c:f>
              <c:strCache>
                <c:ptCount val="1"/>
                <c:pt idx="0">
                  <c:v>Total_Sales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'Worksheet vs Analysis'!$B$12:$B$19</c:f>
              <c:strCache>
                <c:ptCount val="7"/>
                <c:pt idx="0">
                  <c:v>iPhone</c:v>
                </c:pt>
                <c:pt idx="1">
                  <c:v>Jeans</c:v>
                </c:pt>
                <c:pt idx="2">
                  <c:v>Laptop Dell</c:v>
                </c:pt>
                <c:pt idx="3">
                  <c:v>Office Chair</c:v>
                </c:pt>
                <c:pt idx="4">
                  <c:v>Samsung TV</c:v>
                </c:pt>
                <c:pt idx="5">
                  <c:v>T-shirt</c:v>
                </c:pt>
                <c:pt idx="6">
                  <c:v>Wooden Table</c:v>
                </c:pt>
              </c:strCache>
            </c:strRef>
          </c:cat>
          <c:val>
            <c:numRef>
              <c:f>'Worksheet vs Analysis'!$C$12:$C$19</c:f>
              <c:numCache>
                <c:formatCode>0.00</c:formatCode>
                <c:ptCount val="7"/>
                <c:pt idx="0">
                  <c:v>117824525.59999998</c:v>
                </c:pt>
                <c:pt idx="1">
                  <c:v>2028069.8499999999</c:v>
                </c:pt>
                <c:pt idx="2">
                  <c:v>135004154.46000001</c:v>
                </c:pt>
                <c:pt idx="3">
                  <c:v>2523023.7199999997</c:v>
                </c:pt>
                <c:pt idx="4">
                  <c:v>62268519.399999991</c:v>
                </c:pt>
                <c:pt idx="5">
                  <c:v>2067371.1</c:v>
                </c:pt>
                <c:pt idx="6">
                  <c:v>28391995.800000001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5-4424-99B6-C00DE627A2E6}"/>
            </c:ext>
          </c:extLst>
        </c:ser>
        <c:ser>
          <c:idx val="1"/>
          <c:order val="1"/>
          <c:tx>
            <c:strRef>
              <c:f>'Worksheet vs Analysis'!$D$11</c:f>
              <c:strCache>
                <c:ptCount val="1"/>
                <c:pt idx="0">
                  <c:v>Total_Profit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'Worksheet vs Analysis'!$B$12:$B$19</c:f>
              <c:strCache>
                <c:ptCount val="7"/>
                <c:pt idx="0">
                  <c:v>iPhone</c:v>
                </c:pt>
                <c:pt idx="1">
                  <c:v>Jeans</c:v>
                </c:pt>
                <c:pt idx="2">
                  <c:v>Laptop Dell</c:v>
                </c:pt>
                <c:pt idx="3">
                  <c:v>Office Chair</c:v>
                </c:pt>
                <c:pt idx="4">
                  <c:v>Samsung TV</c:v>
                </c:pt>
                <c:pt idx="5">
                  <c:v>T-shirt</c:v>
                </c:pt>
                <c:pt idx="6">
                  <c:v>Wooden Table</c:v>
                </c:pt>
              </c:strCache>
            </c:strRef>
          </c:cat>
          <c:val>
            <c:numRef>
              <c:f>'Worksheet vs Analysis'!$D$12:$D$19</c:f>
              <c:numCache>
                <c:formatCode>0.00</c:formatCode>
                <c:ptCount val="7"/>
                <c:pt idx="0">
                  <c:v>21247045.599999998</c:v>
                </c:pt>
                <c:pt idx="1">
                  <c:v>264530.84999999992</c:v>
                </c:pt>
                <c:pt idx="2">
                  <c:v>24345011.460000001</c:v>
                </c:pt>
                <c:pt idx="3">
                  <c:v>402835.72</c:v>
                </c:pt>
                <c:pt idx="4">
                  <c:v>11228749.400000002</c:v>
                </c:pt>
                <c:pt idx="5">
                  <c:v>269657.10000000009</c:v>
                </c:pt>
                <c:pt idx="6">
                  <c:v>4533175.8000000017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95-4424-99B6-C00DE627A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78077600"/>
        <c:axId val="278087200"/>
      </c:barChart>
      <c:catAx>
        <c:axId val="2780776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87200"/>
        <c:crosses val="autoZero"/>
        <c:auto val="1"/>
        <c:lblAlgn val="ctr"/>
        <c:lblOffset val="100"/>
        <c:noMultiLvlLbl val="0"/>
      </c:catAx>
      <c:valAx>
        <c:axId val="2780872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7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[ecommerce_sales_dataset.xlsx]Worksheet vs Analysis!PivotTable8</c:name>
    <c:fmtId val="4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'Worksheet vs Analysis'!$K$2</c:f>
              <c:strCache>
                <c:ptCount val="1"/>
                <c:pt idx="0">
                  <c:v>Total Revenue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'Worksheet vs Analysis'!$J$3:$J$8</c:f>
              <c:strCache>
                <c:ptCount val="5"/>
                <c:pt idx="0">
                  <c:v>Bangalore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'Worksheet vs Analysis'!$K$3:$K$8</c:f>
              <c:numCache>
                <c:formatCode>0.00</c:formatCode>
                <c:ptCount val="5"/>
                <c:pt idx="0">
                  <c:v>62253482.230000004</c:v>
                </c:pt>
                <c:pt idx="1">
                  <c:v>57933146.960000001</c:v>
                </c:pt>
                <c:pt idx="2">
                  <c:v>86463476.789999962</c:v>
                </c:pt>
                <c:pt idx="3">
                  <c:v>71370338.790000007</c:v>
                </c:pt>
                <c:pt idx="4">
                  <c:v>72087215.159999982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2-4BB7-B460-6511AFF6517F}"/>
            </c:ext>
          </c:extLst>
        </c:ser>
        <c:ser>
          <c:idx val="1"/>
          <c:order val="1"/>
          <c:tx>
            <c:strRef>
              <c:f>'Worksheet vs Analysis'!$L$2</c:f>
              <c:strCache>
                <c:ptCount val="1"/>
                <c:pt idx="0">
                  <c:v>Total Profit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'Worksheet vs Analysis'!$J$3:$J$8</c:f>
              <c:strCache>
                <c:ptCount val="5"/>
                <c:pt idx="0">
                  <c:v>Bangalore</c:v>
                </c:pt>
                <c:pt idx="1">
                  <c:v>Delhi</c:v>
                </c:pt>
                <c:pt idx="2">
                  <c:v>Hyderabad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'Worksheet vs Analysis'!$L$3:$L$8</c:f>
              <c:numCache>
                <c:formatCode>0.00</c:formatCode>
                <c:ptCount val="5"/>
                <c:pt idx="0">
                  <c:v>11058093.23</c:v>
                </c:pt>
                <c:pt idx="1">
                  <c:v>10240973.960000001</c:v>
                </c:pt>
                <c:pt idx="2">
                  <c:v>15395022.790000005</c:v>
                </c:pt>
                <c:pt idx="3">
                  <c:v>12699782.789999999</c:v>
                </c:pt>
                <c:pt idx="4">
                  <c:v>12897133.160000004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62-4BB7-B460-6511AFF65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27026720"/>
        <c:axId val="527027200"/>
      </c:barChart>
      <c:catAx>
        <c:axId val="527026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027200"/>
        <c:crosses val="autoZero"/>
        <c:auto val="1"/>
        <c:lblAlgn val="ctr"/>
        <c:lblOffset val="100"/>
        <c:noMultiLvlLbl val="0"/>
      </c:catAx>
      <c:valAx>
        <c:axId val="5270272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02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[ecommerce_sales_dataset.xlsx]Worksheet vs Analysis!PivotTable7</c:name>
    <c:fmtId val="11"/>
  </c:pivotSource>
  <c:chart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43257874015748"/>
          <c:y val="0.17750592594610795"/>
          <c:w val="0.53434547244094477"/>
          <c:h val="0.596606747830391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'Worksheet vs Analysis'!$G$2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'Worksheet vs Analysis'!$F$3:$F$8</c:f>
              <c:strCache>
                <c:ptCount val="5"/>
                <c:pt idx="0">
                  <c:v>Big Bazaar</c:v>
                </c:pt>
                <c:pt idx="1">
                  <c:v>Croma</c:v>
                </c:pt>
                <c:pt idx="2">
                  <c:v>IKEA</c:v>
                </c:pt>
                <c:pt idx="3">
                  <c:v>Pantaloons</c:v>
                </c:pt>
                <c:pt idx="4">
                  <c:v>Reliance Digital</c:v>
                </c:pt>
              </c:strCache>
            </c:strRef>
          </c:cat>
          <c:val>
            <c:numRef>
              <c:f>'Worksheet vs Analysis'!$G$3:$G$8</c:f>
              <c:numCache>
                <c:formatCode>0.00</c:formatCode>
                <c:ptCount val="5"/>
                <c:pt idx="0">
                  <c:v>2141595.5499999998</c:v>
                </c:pt>
                <c:pt idx="1">
                  <c:v>176124316.68000001</c:v>
                </c:pt>
                <c:pt idx="2">
                  <c:v>30915019.520000003</c:v>
                </c:pt>
                <c:pt idx="3">
                  <c:v>1953845.3999999994</c:v>
                </c:pt>
                <c:pt idx="4">
                  <c:v>138972882.78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0-4952-8798-7F389A4411EF}"/>
            </c:ext>
          </c:extLst>
        </c:ser>
        <c:ser>
          <c:idx val="1"/>
          <c:order val="1"/>
          <c:tx>
            <c:strRef>
              <c:f>'Worksheet vs Analysis'!$H$2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'Worksheet vs Analysis'!$F$3:$F$8</c:f>
              <c:strCache>
                <c:ptCount val="5"/>
                <c:pt idx="0">
                  <c:v>Big Bazaar</c:v>
                </c:pt>
                <c:pt idx="1">
                  <c:v>Croma</c:v>
                </c:pt>
                <c:pt idx="2">
                  <c:v>IKEA</c:v>
                </c:pt>
                <c:pt idx="3">
                  <c:v>Pantaloons</c:v>
                </c:pt>
                <c:pt idx="4">
                  <c:v>Reliance Digital</c:v>
                </c:pt>
              </c:strCache>
            </c:strRef>
          </c:cat>
          <c:val>
            <c:numRef>
              <c:f>'Worksheet vs Analysis'!$H$3:$H$8</c:f>
              <c:numCache>
                <c:formatCode>0.00</c:formatCode>
                <c:ptCount val="5"/>
                <c:pt idx="0">
                  <c:v>279338.54999999993</c:v>
                </c:pt>
                <c:pt idx="1">
                  <c:v>31760122.68</c:v>
                </c:pt>
                <c:pt idx="2">
                  <c:v>4936011.5200000005</c:v>
                </c:pt>
                <c:pt idx="3">
                  <c:v>254849.40000000005</c:v>
                </c:pt>
                <c:pt idx="4">
                  <c:v>25060683.780000005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70-4952-8798-7F389A4411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78118880"/>
        <c:axId val="278121280"/>
      </c:barChart>
      <c:catAx>
        <c:axId val="27811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21280"/>
        <c:crosses val="autoZero"/>
        <c:auto val="1"/>
        <c:lblAlgn val="ctr"/>
        <c:lblOffset val="100"/>
        <c:noMultiLvlLbl val="0"/>
      </c:catAx>
      <c:valAx>
        <c:axId val="27812128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7811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[ecommerce_sales_dataset.xlsx]Worksheet vs Analysis!PivotTable2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'Worksheet vs Analysis'!$G$10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'Worksheet vs Analysis'!$F$11:$F$15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'Worksheet vs Analysis'!$G$11:$G$15</c:f>
              <c:numCache>
                <c:formatCode>0.00</c:formatCode>
                <c:ptCount val="4"/>
                <c:pt idx="0">
                  <c:v>69506434.039999992</c:v>
                </c:pt>
                <c:pt idx="1">
                  <c:v>67646276.520000011</c:v>
                </c:pt>
                <c:pt idx="2">
                  <c:v>122394091.92</c:v>
                </c:pt>
                <c:pt idx="3">
                  <c:v>90560857.450000003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C-4FE9-A61E-80D3576F7DE1}"/>
            </c:ext>
          </c:extLst>
        </c:ser>
        <c:ser>
          <c:idx val="1"/>
          <c:order val="1"/>
          <c:tx>
            <c:strRef>
              <c:f>'Worksheet vs Analysis'!$H$10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'Worksheet vs Analysis'!$F$11:$F$15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'Worksheet vs Analysis'!$H$11:$H$15</c:f>
              <c:numCache>
                <c:formatCode>0.00</c:formatCode>
                <c:ptCount val="4"/>
                <c:pt idx="0">
                  <c:v>12301886.040000007</c:v>
                </c:pt>
                <c:pt idx="1">
                  <c:v>11922152.520000001</c:v>
                </c:pt>
                <c:pt idx="2">
                  <c:v>21934651.919999998</c:v>
                </c:pt>
                <c:pt idx="3">
                  <c:v>16132315.449999999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9C-4FE9-A61E-80D3576F7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4104255"/>
        <c:axId val="1602317503"/>
      </c:barChart>
      <c:catAx>
        <c:axId val="152410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17503"/>
        <c:crosses val="autoZero"/>
        <c:auto val="1"/>
        <c:lblAlgn val="ctr"/>
        <c:lblOffset val="100"/>
        <c:noMultiLvlLbl val="0"/>
      </c:catAx>
      <c:valAx>
        <c:axId val="160231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10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[ecommerce_sales_dataset.xlsx]Worksheet vs Analysis!PivotTable3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'Worksheet vs Analysis'!$K$10</c:f>
              <c:strCache>
                <c:ptCount val="1"/>
                <c:pt idx="0">
                  <c:v>Total_Qty_Sold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'Worksheet vs Analysis'!$J$11:$J$18</c:f>
              <c:strCache>
                <c:ptCount val="7"/>
                <c:pt idx="0">
                  <c:v>iPhone</c:v>
                </c:pt>
                <c:pt idx="1">
                  <c:v>Jeans</c:v>
                </c:pt>
                <c:pt idx="2">
                  <c:v>Laptop Dell</c:v>
                </c:pt>
                <c:pt idx="3">
                  <c:v>Office Chair</c:v>
                </c:pt>
                <c:pt idx="4">
                  <c:v>Samsung TV</c:v>
                </c:pt>
                <c:pt idx="5">
                  <c:v>T-shirt</c:v>
                </c:pt>
                <c:pt idx="6">
                  <c:v>Wooden Table</c:v>
                </c:pt>
              </c:strCache>
            </c:strRef>
          </c:cat>
          <c:val>
            <c:numRef>
              <c:f>'Worksheet vs Analysis'!$K$11:$K$18</c:f>
              <c:numCache>
                <c:formatCode>0</c:formatCode>
                <c:ptCount val="7"/>
                <c:pt idx="0">
                  <c:v>588</c:v>
                </c:pt>
                <c:pt idx="1">
                  <c:v>764</c:v>
                </c:pt>
                <c:pt idx="2">
                  <c:v>863</c:v>
                </c:pt>
                <c:pt idx="3">
                  <c:v>748</c:v>
                </c:pt>
                <c:pt idx="4">
                  <c:v>623</c:v>
                </c:pt>
                <c:pt idx="5">
                  <c:v>745</c:v>
                </c:pt>
                <c:pt idx="6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4C-4611-89F3-BFBEBDA3A13C}"/>
            </c:ext>
          </c:extLst>
        </c:ser>
        <c:ser>
          <c:idx val="1"/>
          <c:order val="1"/>
          <c:tx>
            <c:strRef>
              <c:f>'Worksheet vs Analysis'!$L$10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'Worksheet vs Analysis'!$J$11:$J$18</c:f>
              <c:strCache>
                <c:ptCount val="7"/>
                <c:pt idx="0">
                  <c:v>iPhone</c:v>
                </c:pt>
                <c:pt idx="1">
                  <c:v>Jeans</c:v>
                </c:pt>
                <c:pt idx="2">
                  <c:v>Laptop Dell</c:v>
                </c:pt>
                <c:pt idx="3">
                  <c:v>Office Chair</c:v>
                </c:pt>
                <c:pt idx="4">
                  <c:v>Samsung TV</c:v>
                </c:pt>
                <c:pt idx="5">
                  <c:v>T-shirt</c:v>
                </c:pt>
                <c:pt idx="6">
                  <c:v>Wooden Table</c:v>
                </c:pt>
              </c:strCache>
            </c:strRef>
          </c:cat>
          <c:val>
            <c:numRef>
              <c:f>'Worksheet vs Analysis'!$L$11:$L$18</c:f>
              <c:numCache>
                <c:formatCode>0.00</c:formatCode>
                <c:ptCount val="7"/>
                <c:pt idx="0">
                  <c:v>117824525.59999998</c:v>
                </c:pt>
                <c:pt idx="1">
                  <c:v>2028069.8499999999</c:v>
                </c:pt>
                <c:pt idx="2">
                  <c:v>135004154.46000001</c:v>
                </c:pt>
                <c:pt idx="3">
                  <c:v>2523023.7199999997</c:v>
                </c:pt>
                <c:pt idx="4">
                  <c:v>62268519.399999991</c:v>
                </c:pt>
                <c:pt idx="5">
                  <c:v>2067371.1</c:v>
                </c:pt>
                <c:pt idx="6">
                  <c:v>28391995.800000001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4C-4611-89F3-BFBEBDA3A13C}"/>
            </c:ext>
          </c:extLst>
        </c:ser>
        <c:ser>
          <c:idx val="2"/>
          <c:order val="2"/>
          <c:tx>
            <c:strRef>
              <c:f>'Worksheet vs Analysis'!$M$10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'Worksheet vs Analysis'!$J$11:$J$18</c:f>
              <c:strCache>
                <c:ptCount val="7"/>
                <c:pt idx="0">
                  <c:v>iPhone</c:v>
                </c:pt>
                <c:pt idx="1">
                  <c:v>Jeans</c:v>
                </c:pt>
                <c:pt idx="2">
                  <c:v>Laptop Dell</c:v>
                </c:pt>
                <c:pt idx="3">
                  <c:v>Office Chair</c:v>
                </c:pt>
                <c:pt idx="4">
                  <c:v>Samsung TV</c:v>
                </c:pt>
                <c:pt idx="5">
                  <c:v>T-shirt</c:v>
                </c:pt>
                <c:pt idx="6">
                  <c:v>Wooden Table</c:v>
                </c:pt>
              </c:strCache>
            </c:strRef>
          </c:cat>
          <c:val>
            <c:numRef>
              <c:f>'Worksheet vs Analysis'!$M$11:$M$18</c:f>
              <c:numCache>
                <c:formatCode>0.00</c:formatCode>
                <c:ptCount val="7"/>
                <c:pt idx="0">
                  <c:v>21247045.599999998</c:v>
                </c:pt>
                <c:pt idx="1">
                  <c:v>264530.84999999992</c:v>
                </c:pt>
                <c:pt idx="2">
                  <c:v>24345011.460000001</c:v>
                </c:pt>
                <c:pt idx="3">
                  <c:v>402835.72</c:v>
                </c:pt>
                <c:pt idx="4">
                  <c:v>11228749.400000002</c:v>
                </c:pt>
                <c:pt idx="5">
                  <c:v>269657.10000000009</c:v>
                </c:pt>
                <c:pt idx="6">
                  <c:v>4533175.8000000017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4C-4611-89F3-BFBEBDA3A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2217199"/>
        <c:axId val="1952217679"/>
      </c:barChart>
      <c:catAx>
        <c:axId val="195221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217679"/>
        <c:crosses val="autoZero"/>
        <c:auto val="1"/>
        <c:lblAlgn val="ctr"/>
        <c:lblOffset val="100"/>
        <c:noMultiLvlLbl val="0"/>
      </c:catAx>
      <c:valAx>
        <c:axId val="195221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21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[ecommerce_sales_dataset.xlsx]Worksheet vs Analysis!PivotTable4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1.1363636363636364E-2"/>
              <c:y val="-2.5950265466000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3.7880279169649248E-3"/>
              <c:y val="2.07369427658751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981060606060603"/>
                  <c:h val="4.7868725711611632E-2"/>
                </c:manualLayout>
              </c15:layout>
            </c:ext>
          </c:extLst>
        </c:dLbl>
      </c:pivotFmt>
      <c:pivotFmt>
        <c:idx val="8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3.0303030303030304E-2"/>
              <c:y val="2.31782945736434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708333333333332"/>
                  <c:h val="6.4521963824289402E-2"/>
                </c:manualLayout>
              </c15:layout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'Worksheet vs Analysis'!$G$17</c:f>
              <c:strCache>
                <c:ptCount val="1"/>
                <c:pt idx="0">
                  <c:v>Total_Sales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Pt>
            <c:idx val="2"/>
            <c:invertIfNegative val="0"/>
            <c:bubble3D val="0"/>
            <c:spPr>
              <a:noFill/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1B14-4761-9BBE-70AF31205BAC}"/>
              </c:ext>
            </c:extLst>
          </c:dPt>
          <c:dLbls>
            <c:dLbl>
              <c:idx val="2"/>
              <c:layout>
                <c:manualLayout>
                  <c:x val="3.7880279169649248E-3"/>
                  <c:y val="2.073694276587519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81060606060603"/>
                      <c:h val="4.786872571161163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B14-4761-9BBE-70AF31205B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'Worksheet vs Analysis'!$F$18:$F$21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'Worksheet vs Analysis'!$G$18:$G$21</c:f>
              <c:numCache>
                <c:formatCode>0.00</c:formatCode>
                <c:ptCount val="3"/>
                <c:pt idx="0">
                  <c:v>4095440.95</c:v>
                </c:pt>
                <c:pt idx="1">
                  <c:v>315097199.46000004</c:v>
                </c:pt>
                <c:pt idx="2">
                  <c:v>30915019.520000003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4-4761-9BBE-70AF31205BAC}"/>
            </c:ext>
          </c:extLst>
        </c:ser>
        <c:ser>
          <c:idx val="1"/>
          <c:order val="1"/>
          <c:tx>
            <c:strRef>
              <c:f>'Worksheet vs Analysis'!$H$17</c:f>
              <c:strCache>
                <c:ptCount val="1"/>
                <c:pt idx="0">
                  <c:v>Total_Profit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spPr>
              <a:noFill/>
              <a:ln w="9525" cap="flat" cmpd="sng" algn="ctr">
                <a:solidFill>
                  <a:schemeClr val="accent2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1B14-4761-9BBE-70AF31205BAC}"/>
              </c:ext>
            </c:extLst>
          </c:dPt>
          <c:dPt>
            <c:idx val="1"/>
            <c:invertIfNegative val="0"/>
            <c:bubble3D val="0"/>
            <c:spPr>
              <a:noFill/>
              <a:ln w="9525" cap="flat" cmpd="sng" algn="ctr">
                <a:solidFill>
                  <a:schemeClr val="accent2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4-1B14-4761-9BBE-70AF31205BAC}"/>
              </c:ext>
            </c:extLst>
          </c:dPt>
          <c:dLbls>
            <c:dLbl>
              <c:idx val="0"/>
              <c:layout>
                <c:manualLayout>
                  <c:x val="1.1363636363636364E-2"/>
                  <c:y val="-2.5950265466000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14-4761-9BBE-70AF31205BAC}"/>
                </c:ext>
              </c:extLst>
            </c:dLbl>
            <c:dLbl>
              <c:idx val="1"/>
              <c:layout>
                <c:manualLayout>
                  <c:x val="3.0303030303030304E-2"/>
                  <c:y val="2.31782945736434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708333333333332"/>
                      <c:h val="6.45219638242894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1B14-4761-9BBE-70AF31205B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'Worksheet vs Analysis'!$F$18:$F$21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'Worksheet vs Analysis'!$H$18:$H$21</c:f>
              <c:numCache>
                <c:formatCode>0.00</c:formatCode>
                <c:ptCount val="3"/>
                <c:pt idx="0">
                  <c:v>534187.95000000007</c:v>
                </c:pt>
                <c:pt idx="1">
                  <c:v>56820806.460000001</c:v>
                </c:pt>
                <c:pt idx="2">
                  <c:v>4936011.5200000005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14-4761-9BBE-70AF31205B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866275519"/>
        <c:axId val="1866275999"/>
      </c:barChart>
      <c:catAx>
        <c:axId val="18662755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275999"/>
        <c:crosses val="autoZero"/>
        <c:auto val="1"/>
        <c:lblAlgn val="ctr"/>
        <c:lblOffset val="100"/>
        <c:noMultiLvlLbl val="0"/>
      </c:catAx>
      <c:valAx>
        <c:axId val="18662759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27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[ecommerce_sales_dataset.xlsx]Worksheet vs Analysis!PivotTable5</c:name>
    <c:fmtId val="1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'Worksheet vs Analysis'!$C$21</c:f>
              <c:strCache>
                <c:ptCount val="1"/>
                <c:pt idx="0">
                  <c:v>Total_Sales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'Worksheet vs Analysis'!$B$22:$B$29</c:f>
              <c:strCache>
                <c:ptCount val="7"/>
                <c:pt idx="0">
                  <c:v>Accessories</c:v>
                </c:pt>
                <c:pt idx="1">
                  <c:v>Chair</c:v>
                </c:pt>
                <c:pt idx="2">
                  <c:v>Laptop</c:v>
                </c:pt>
                <c:pt idx="3">
                  <c:v>Men Wear</c:v>
                </c:pt>
                <c:pt idx="4">
                  <c:v>Mobile</c:v>
                </c:pt>
                <c:pt idx="5">
                  <c:v>Table</c:v>
                </c:pt>
                <c:pt idx="6">
                  <c:v>Women Wear</c:v>
                </c:pt>
              </c:strCache>
            </c:strRef>
          </c:cat>
          <c:val>
            <c:numRef>
              <c:f>'Worksheet vs Analysis'!$C$22:$C$29</c:f>
              <c:numCache>
                <c:formatCode>0.00</c:formatCode>
                <c:ptCount val="7"/>
                <c:pt idx="0">
                  <c:v>62268519.399999991</c:v>
                </c:pt>
                <c:pt idx="1">
                  <c:v>2523023.7199999997</c:v>
                </c:pt>
                <c:pt idx="2">
                  <c:v>135004154.46000001</c:v>
                </c:pt>
                <c:pt idx="3">
                  <c:v>2067371.1</c:v>
                </c:pt>
                <c:pt idx="4">
                  <c:v>117824525.59999998</c:v>
                </c:pt>
                <c:pt idx="5">
                  <c:v>28391995.800000001</c:v>
                </c:pt>
                <c:pt idx="6">
                  <c:v>2028069.8499999999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3-4858-8118-B4BB31300AD1}"/>
            </c:ext>
          </c:extLst>
        </c:ser>
        <c:ser>
          <c:idx val="1"/>
          <c:order val="1"/>
          <c:tx>
            <c:strRef>
              <c:f>'Worksheet vs Analysis'!$D$21</c:f>
              <c:strCache>
                <c:ptCount val="1"/>
                <c:pt idx="0">
                  <c:v>Total_Profit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'Worksheet vs Analysis'!$B$22:$B$29</c:f>
              <c:strCache>
                <c:ptCount val="7"/>
                <c:pt idx="0">
                  <c:v>Accessories</c:v>
                </c:pt>
                <c:pt idx="1">
                  <c:v>Chair</c:v>
                </c:pt>
                <c:pt idx="2">
                  <c:v>Laptop</c:v>
                </c:pt>
                <c:pt idx="3">
                  <c:v>Men Wear</c:v>
                </c:pt>
                <c:pt idx="4">
                  <c:v>Mobile</c:v>
                </c:pt>
                <c:pt idx="5">
                  <c:v>Table</c:v>
                </c:pt>
                <c:pt idx="6">
                  <c:v>Women Wear</c:v>
                </c:pt>
              </c:strCache>
            </c:strRef>
          </c:cat>
          <c:val>
            <c:numRef>
              <c:f>'Worksheet vs Analysis'!$D$22:$D$29</c:f>
              <c:numCache>
                <c:formatCode>0.00</c:formatCode>
                <c:ptCount val="7"/>
                <c:pt idx="0">
                  <c:v>11228749.400000002</c:v>
                </c:pt>
                <c:pt idx="1">
                  <c:v>402835.72</c:v>
                </c:pt>
                <c:pt idx="2">
                  <c:v>24345011.460000001</c:v>
                </c:pt>
                <c:pt idx="3">
                  <c:v>269657.10000000009</c:v>
                </c:pt>
                <c:pt idx="4">
                  <c:v>21247045.599999998</c:v>
                </c:pt>
                <c:pt idx="5">
                  <c:v>4533175.8000000017</c:v>
                </c:pt>
                <c:pt idx="6">
                  <c:v>264530.84999999992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A3-4858-8118-B4BB31300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961721567"/>
        <c:axId val="1961722047"/>
      </c:barChart>
      <c:catAx>
        <c:axId val="19617215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22047"/>
        <c:crosses val="autoZero"/>
        <c:auto val="1"/>
        <c:lblAlgn val="ctr"/>
        <c:lblOffset val="100"/>
        <c:noMultiLvlLbl val="0"/>
      </c:catAx>
      <c:valAx>
        <c:axId val="19617220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2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[ecommerce_sales_dataset.xlsx]Worksheet vs Analysis!PivotTable11</c:name>
    <c:fmtId val="1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'Worksheet vs Analysis'!$G$23</c:f>
              <c:strCache>
                <c:ptCount val="1"/>
                <c:pt idx="0">
                  <c:v>Total Sales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'Worksheet vs Analysis'!$F$24:$F$37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(blank)</c:v>
                </c:pt>
              </c:strCache>
            </c:strRef>
          </c:cat>
          <c:val>
            <c:numRef>
              <c:f>'Worksheet vs Analysis'!$G$24:$G$37</c:f>
              <c:numCache>
                <c:formatCode>General</c:formatCode>
                <c:ptCount val="13"/>
                <c:pt idx="0">
                  <c:v>58127987.040000007</c:v>
                </c:pt>
                <c:pt idx="1">
                  <c:v>17804757.77</c:v>
                </c:pt>
                <c:pt idx="2">
                  <c:v>26522336.870000001</c:v>
                </c:pt>
                <c:pt idx="3">
                  <c:v>38838427.359999999</c:v>
                </c:pt>
                <c:pt idx="4">
                  <c:v>19677398.640000001</c:v>
                </c:pt>
                <c:pt idx="5">
                  <c:v>16970935.139999997</c:v>
                </c:pt>
                <c:pt idx="6">
                  <c:v>39377292.799999997</c:v>
                </c:pt>
                <c:pt idx="7">
                  <c:v>25378629.749999996</c:v>
                </c:pt>
                <c:pt idx="8">
                  <c:v>28507529.870000005</c:v>
                </c:pt>
                <c:pt idx="9">
                  <c:v>14423625.960000001</c:v>
                </c:pt>
                <c:pt idx="10">
                  <c:v>37917470.940000005</c:v>
                </c:pt>
                <c:pt idx="11">
                  <c:v>26561267.790000007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B-4120-B144-978BD7FF4A98}"/>
            </c:ext>
          </c:extLst>
        </c:ser>
        <c:ser>
          <c:idx val="1"/>
          <c:order val="1"/>
          <c:tx>
            <c:strRef>
              <c:f>'Worksheet vs Analysis'!$H$23</c:f>
              <c:strCache>
                <c:ptCount val="1"/>
                <c:pt idx="0">
                  <c:v>Total Profit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'Worksheet vs Analysis'!$F$24:$F$37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(blank)</c:v>
                </c:pt>
              </c:strCache>
            </c:strRef>
          </c:cat>
          <c:val>
            <c:numRef>
              <c:f>'Worksheet vs Analysis'!$H$24:$H$37</c:f>
              <c:numCache>
                <c:formatCode>General</c:formatCode>
                <c:ptCount val="13"/>
                <c:pt idx="0">
                  <c:v>10433933.040000003</c:v>
                </c:pt>
                <c:pt idx="1">
                  <c:v>3135052.7700000005</c:v>
                </c:pt>
                <c:pt idx="2">
                  <c:v>4711788.8699999992</c:v>
                </c:pt>
                <c:pt idx="3">
                  <c:v>6939482.3599999994</c:v>
                </c:pt>
                <c:pt idx="4">
                  <c:v>3440226.64</c:v>
                </c:pt>
                <c:pt idx="5">
                  <c:v>3021893.1400000006</c:v>
                </c:pt>
                <c:pt idx="6">
                  <c:v>6982806.7999999998</c:v>
                </c:pt>
                <c:pt idx="7">
                  <c:v>4520749.75</c:v>
                </c:pt>
                <c:pt idx="8">
                  <c:v>5081378.8699999982</c:v>
                </c:pt>
                <c:pt idx="9">
                  <c:v>2555085.96</c:v>
                </c:pt>
                <c:pt idx="10">
                  <c:v>6792838.9400000004</c:v>
                </c:pt>
                <c:pt idx="11">
                  <c:v>4675768.7899999991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7B-4120-B144-978BD7FF4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663561088"/>
        <c:axId val="1663557728"/>
      </c:barChart>
      <c:catAx>
        <c:axId val="16635610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557728"/>
        <c:crosses val="autoZero"/>
        <c:auto val="1"/>
        <c:lblAlgn val="ctr"/>
        <c:lblOffset val="100"/>
        <c:noMultiLvlLbl val="0"/>
      </c:catAx>
      <c:valAx>
        <c:axId val="16635577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56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</xdr:row>
      <xdr:rowOff>0</xdr:rowOff>
    </xdr:from>
    <xdr:to>
      <xdr:col>6</xdr:col>
      <xdr:colOff>304800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D7CF73-23ED-4DE9-B8C6-560C12A2D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487680</xdr:colOff>
      <xdr:row>1</xdr:row>
      <xdr:rowOff>0</xdr:rowOff>
    </xdr:from>
    <xdr:to>
      <xdr:col>12</xdr:col>
      <xdr:colOff>289560</xdr:colOff>
      <xdr:row>16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22EEEE-1E2F-4A00-9C75-DF198CEF4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137160</xdr:colOff>
      <xdr:row>16</xdr:row>
      <xdr:rowOff>121920</xdr:rowOff>
    </xdr:from>
    <xdr:to>
      <xdr:col>6</xdr:col>
      <xdr:colOff>304800</xdr:colOff>
      <xdr:row>33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0AF66D-1BB2-4B97-AD27-D8C437E79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480060</xdr:colOff>
      <xdr:row>17</xdr:row>
      <xdr:rowOff>0</xdr:rowOff>
    </xdr:from>
    <xdr:to>
      <xdr:col>12</xdr:col>
      <xdr:colOff>304800</xdr:colOff>
      <xdr:row>38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5B6AFA-1D44-4B2F-8216-055381311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441960</xdr:colOff>
      <xdr:row>1</xdr:row>
      <xdr:rowOff>0</xdr:rowOff>
    </xdr:from>
    <xdr:to>
      <xdr:col>19</xdr:col>
      <xdr:colOff>137160</xdr:colOff>
      <xdr:row>16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CB8C5E-E265-4D85-BA05-461D4D2FE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449580</xdr:colOff>
      <xdr:row>17</xdr:row>
      <xdr:rowOff>0</xdr:rowOff>
    </xdr:from>
    <xdr:to>
      <xdr:col>19</xdr:col>
      <xdr:colOff>129540</xdr:colOff>
      <xdr:row>32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9FD48A-0757-479F-BB74-6A24531C2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144780</xdr:colOff>
      <xdr:row>34</xdr:row>
      <xdr:rowOff>0</xdr:rowOff>
    </xdr:from>
    <xdr:to>
      <xdr:col>5</xdr:col>
      <xdr:colOff>449580</xdr:colOff>
      <xdr:row>60</xdr:row>
      <xdr:rowOff>160020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1F94BF-5AF2-4F46-9AAB-AA7FBDD65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480060</xdr:colOff>
      <xdr:row>39</xdr:row>
      <xdr:rowOff>0</xdr:rowOff>
    </xdr:from>
    <xdr:to>
      <xdr:col>12</xdr:col>
      <xdr:colOff>373380</xdr:colOff>
      <xdr:row>54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61B04C8-E8C2-4E33-A4EC-522332B64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472440</xdr:colOff>
      <xdr:row>33</xdr:row>
      <xdr:rowOff>53340</xdr:rowOff>
    </xdr:from>
    <xdr:to>
      <xdr:col>19</xdr:col>
      <xdr:colOff>114300</xdr:colOff>
      <xdr:row>50</xdr:row>
      <xdr:rowOff>106680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D61D238-B534-44D6-AE09-F60A03084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dana Verma" refreshedDate="46116.956045370367" createdVersion="8" refreshedVersion="8" minRefreshableVersion="3" recordCount="500" xr:uid="{7F930E1A-3935-4F8D-84F4-7D51590C54B4}">
  <cacheSource type="worksheet">
    <worksheetSource ref="A1:O501" sheet="Worksheet"/>
  </cacheSource>
  <cacheFields count="14">
    <cacheField name="Order ID" numFmtId="0">
      <sharedItems/>
    </cacheField>
    <cacheField name="Order Date" numFmtId="0">
      <sharedItems/>
    </cacheField>
    <cacheField name="Sales Person" numFmtId="0">
      <sharedItems count="6">
        <s v="Neha Gupta"/>
        <s v="Rahul Verma"/>
        <s v="Amit Sharma"/>
        <s v="Rohit Das"/>
        <s v="Anjali Mehta"/>
        <s v="Priya Singh"/>
      </sharedItems>
    </cacheField>
    <cacheField name="Region" numFmtId="0">
      <sharedItems count="4">
        <s v="South"/>
        <s v="East"/>
        <s v="North"/>
        <s v="West"/>
      </sharedItems>
    </cacheField>
    <cacheField name="Category" numFmtId="0">
      <sharedItems count="3">
        <s v="Electronics"/>
        <s v="Furniture"/>
        <s v="Clothing"/>
      </sharedItems>
    </cacheField>
    <cacheField name="Sub-Category" numFmtId="0">
      <sharedItems count="7">
        <s v="Laptop"/>
        <s v="Chair"/>
        <s v="Men Wear"/>
        <s v="Table"/>
        <s v="Women Wear"/>
        <s v="Accessories"/>
        <s v="Mobile"/>
      </sharedItems>
    </cacheField>
    <cacheField name="Item Name" numFmtId="0">
      <sharedItems count="7">
        <s v="Laptop Dell"/>
        <s v="Office Chair"/>
        <s v="T-shirt"/>
        <s v="Wooden Table"/>
        <s v="Jeans"/>
        <s v="Samsung TV"/>
        <s v="iPhone"/>
      </sharedItems>
    </cacheField>
    <cacheField name="Store Name" numFmtId="0">
      <sharedItems count="5">
        <s v="Croma"/>
        <s v="IKEA"/>
        <s v="Pantaloons"/>
        <s v="Reliance Digital"/>
        <s v="Big Bazaar"/>
      </sharedItems>
    </cacheField>
    <cacheField name="Store Branch" numFmtId="0">
      <sharedItems count="5">
        <s v="Delhi"/>
        <s v="Kolkata"/>
        <s v="Bangalore"/>
        <s v="Hyderabad"/>
        <s v="Mumbai"/>
      </sharedItems>
    </cacheField>
    <cacheField name="Item left " numFmtId="1">
      <sharedItems containsSemiMixedTypes="0" containsString="0" containsNumber="1" containsInteger="1" minValue="0" maxValue="100"/>
    </cacheField>
    <cacheField name="Item Sold" numFmtId="1">
      <sharedItems containsSemiMixedTypes="0" containsString="0" containsNumber="1" containsInteger="1" minValue="1" maxValue="20" count="20">
        <n v="8"/>
        <n v="16"/>
        <n v="19"/>
        <n v="10"/>
        <n v="2"/>
        <n v="4"/>
        <n v="1"/>
        <n v="12"/>
        <n v="7"/>
        <n v="5"/>
        <n v="9"/>
        <n v="6"/>
        <n v="14"/>
        <n v="15"/>
        <n v="18"/>
        <n v="13"/>
        <n v="11"/>
        <n v="3"/>
        <n v="17"/>
        <n v="20"/>
      </sharedItems>
    </cacheField>
    <cacheField name="Cost Price/item" numFmtId="2">
      <sharedItems containsSemiMixedTypes="0" containsString="0" containsNumber="1" containsInteger="1" minValue="500" maxValue="665025"/>
    </cacheField>
    <cacheField name="Sales" numFmtId="2">
      <sharedItems containsSemiMixedTypes="0" containsString="0" containsNumber="1" minValue="1345.5" maxValue="11951120" count="496">
        <n v="566080"/>
        <n v="1532320"/>
        <n v="111173.37"/>
        <n v="27544.799999999999"/>
        <n v="366758"/>
        <n v="65592.800000000003"/>
        <n v="24580.639999999999"/>
        <n v="2548.4"/>
        <n v="55073.2"/>
        <n v="37294.6"/>
        <n v="54228.3"/>
        <n v="25847.4"/>
        <n v="597556"/>
        <n v="23390.639999999999"/>
        <n v="327740.79999999999"/>
        <n v="187901"/>
        <n v="371124"/>
        <n v="243831"/>
        <n v="21031.200000000001"/>
        <n v="792512"/>
        <n v="818132"/>
        <n v="1628700"/>
        <n v="1443870"/>
        <n v="93048.48"/>
        <n v="28980"/>
        <n v="207298"/>
        <n v="1565382"/>
        <n v="495373.2"/>
        <n v="651168"/>
        <n v="42619.85"/>
        <n v="655725.6"/>
        <n v="281307.59999999998"/>
        <n v="68311.95"/>
        <n v="4422012"/>
        <n v="509472"/>
        <n v="4061136"/>
        <n v="895187.2"/>
        <n v="1345.5"/>
        <n v="65364.32"/>
        <n v="26910"/>
        <n v="533445"/>
        <n v="1100440"/>
        <n v="2626708.7999999998"/>
        <n v="14464.45"/>
        <n v="355429.2"/>
        <n v="1965664"/>
        <n v="207440.8"/>
        <n v="42126"/>
        <n v="3170.55"/>
        <n v="15157"/>
        <n v="856186.24"/>
        <n v="1802.85"/>
        <n v="26930.7"/>
        <n v="59264.1"/>
        <n v="241950.8"/>
        <n v="17498.400000000001"/>
        <n v="2287207.2000000002"/>
        <n v="76596.899999999994"/>
        <n v="864248"/>
        <n v="40589.4"/>
        <n v="344674.4"/>
        <n v="1234640"/>
        <n v="444812"/>
        <n v="244902"/>
        <n v="48122.9"/>
        <n v="355337.2"/>
        <n v="611362.5"/>
        <n v="89030.7"/>
        <n v="29559.599999999999"/>
        <n v="8855"/>
        <n v="36390.6"/>
        <n v="23460"/>
        <n v="2869.25"/>
        <n v="101405.85"/>
        <n v="732659.19999999995"/>
        <n v="2070035"/>
        <n v="973560"/>
        <n v="10994640"/>
        <n v="29512"/>
        <n v="834480"/>
        <n v="127211"/>
        <n v="504592"/>
        <n v="1034072"/>
        <n v="549012.19999999995"/>
        <n v="507225.59999999998"/>
        <n v="464234.4"/>
        <n v="58786"/>
        <n v="11044.6"/>
        <n v="37545.199999999997"/>
        <n v="53895.1"/>
        <n v="41703.599999999999"/>
        <n v="310807.2"/>
        <n v="3630720"/>
        <n v="19374.39"/>
        <n v="1455.9"/>
        <n v="98771.199999999997"/>
        <n v="50813"/>
        <n v="624678.6"/>
        <n v="1142995"/>
        <n v="76636"/>
        <n v="91816"/>
        <n v="26220"/>
        <n v="10224.48"/>
        <n v="609077.69999999995"/>
        <n v="265716"/>
        <n v="599950.4"/>
        <n v="402307.2"/>
        <n v="19085.400000000001"/>
        <n v="1437.5"/>
        <n v="155271.20000000001"/>
        <n v="742441"/>
        <n v="18621.12"/>
        <n v="1202188"/>
        <n v="18026.25"/>
        <n v="28331.4"/>
        <n v="29352.6"/>
        <n v="30500"/>
        <n v="1796450"/>
        <n v="35797.199999999997"/>
        <n v="36985.199999999997"/>
        <n v="10580"/>
        <n v="839140.4"/>
        <n v="62997"/>
        <n v="11960"/>
        <n v="2659209.6"/>
        <n v="201728.8"/>
        <n v="26289"/>
        <n v="10159.1"/>
        <n v="2126606.4"/>
        <n v="42904.2"/>
        <n v="7935"/>
        <n v="26392.5"/>
        <n v="294630"/>
        <n v="31350.15"/>
        <n v="40664"/>
        <n v="1517594.6"/>
        <n v="52566.5"/>
        <n v="1551034.8"/>
        <n v="26326.95"/>
        <n v="59376.24"/>
        <n v="255614.4"/>
        <n v="240645"/>
        <n v="4342.3999999999996"/>
        <n v="200263"/>
        <n v="755888"/>
        <n v="269888.40000000002"/>
        <n v="39709.11"/>
        <n v="636913.19999999995"/>
        <n v="16298.24"/>
        <n v="393694"/>
        <n v="177876"/>
        <n v="274818.59999999998"/>
        <n v="33350"/>
        <n v="2835280"/>
        <n v="120414"/>
        <n v="4538400"/>
        <n v="34500"/>
        <n v="10695"/>
        <n v="129721.9"/>
        <n v="399840"/>
        <n v="76897.8"/>
        <n v="37239.300000000003"/>
        <n v="13676.67"/>
        <n v="2865414"/>
        <n v="2512858.4"/>
        <n v="3344264"/>
        <n v="21991.200000000001"/>
        <n v="70424.2"/>
        <n v="362022.8"/>
        <n v="48112.55"/>
        <n v="28500.45"/>
        <n v="408039.1"/>
        <n v="57941.599999999999"/>
        <n v="482680.8"/>
        <n v="67017.399999999994"/>
        <n v="23515.200000000001"/>
        <n v="134053.6"/>
        <n v="39275.949999999997"/>
        <n v="3881.25"/>
        <n v="379542"/>
        <n v="619028"/>
        <n v="528931.19999999995"/>
        <n v="1057227.6000000001"/>
        <n v="470920"/>
        <n v="49715"/>
        <n v="361388.4"/>
        <n v="397412.4"/>
        <n v="45943.520000000004"/>
        <n v="14280"/>
        <n v="5014"/>
        <n v="15663"/>
        <n v="97960.8"/>
        <n v="129808"/>
        <n v="868945"/>
        <n v="791243.2"/>
        <n v="72491.399999999994"/>
        <n v="983076"/>
        <n v="5588917.5999999996"/>
        <n v="1622112"/>
        <n v="70899.009999999995"/>
        <n v="74661.45"/>
        <n v="754936"/>
        <n v="66987.48"/>
        <n v="2845528"/>
        <n v="331596"/>
        <n v="632984.80000000005"/>
        <n v="599386"/>
        <n v="8703.66"/>
        <n v="7021344"/>
        <n v="26852.5"/>
        <n v="196219.1"/>
        <n v="29934.5"/>
        <n v="255407"/>
        <n v="24975.72"/>
        <n v="2114601.6"/>
        <n v="15237.95"/>
        <n v="580793.19999999995"/>
        <n v="4306.75"/>
        <n v="72304.399999999994"/>
        <n v="915976"/>
        <n v="210230.39999999999"/>
        <n v="985345.2"/>
        <n v="125913.9"/>
        <n v="64495.62"/>
        <n v="176338.8"/>
        <n v="49575.4"/>
        <n v="1106120.32"/>
        <n v="67175.5"/>
        <n v="340331.2"/>
        <n v="14800.5"/>
        <n v="51142.8"/>
        <n v="333499.2"/>
        <n v="1444785"/>
        <n v="49875.5"/>
        <n v="191233"/>
        <n v="44391.15"/>
        <n v="258468"/>
        <n v="655994"/>
        <n v="61065"/>
        <n v="9041.2999999999993"/>
        <n v="932324"/>
        <n v="21401.5"/>
        <n v="2188680"/>
        <n v="10750.2"/>
        <n v="159954.20000000001"/>
        <n v="8412.25"/>
        <n v="52934.5"/>
        <n v="359656"/>
        <n v="284638.2"/>
        <n v="2189412"/>
        <n v="328523.3"/>
        <n v="142630.20000000001"/>
        <n v="97461"/>
        <n v="216867.20000000001"/>
        <n v="51143.95"/>
        <n v="14422.8"/>
        <n v="28617.75"/>
        <n v="14237.16"/>
        <n v="1586000"/>
        <n v="1351272"/>
        <n v="376278"/>
        <n v="5337.15"/>
        <n v="1585984.1400000001"/>
        <n v="1576484"/>
        <n v="2765252"/>
        <n v="3295464"/>
        <n v="312283.40000000002"/>
        <n v="41572.5"/>
        <n v="146644"/>
        <n v="168360"/>
        <n v="83168"/>
        <n v="759696"/>
        <n v="5382"/>
        <n v="53785.5"/>
        <n v="421924.8"/>
        <n v="343125"/>
        <n v="48019.4"/>
        <n v="1929.7"/>
        <n v="14765.52"/>
        <n v="332581.2"/>
        <n v="14079.45"/>
        <n v="26763.95"/>
        <n v="63952.4"/>
        <n v="222381.6"/>
        <n v="1600005.6"/>
        <n v="294752"/>
        <n v="12057.75"/>
        <n v="962580"/>
        <n v="20725.04"/>
        <n v="440041.8"/>
        <n v="47736.5"/>
        <n v="67123.199999999997"/>
        <n v="16560"/>
        <n v="5416.5"/>
        <n v="1622600"/>
        <n v="670446"/>
        <n v="464100"/>
        <n v="1014058.5"/>
        <n v="60818.520000000004"/>
        <n v="18808.25"/>
        <n v="30498"/>
        <n v="2653500"/>
        <n v="498309"/>
        <n v="122427.2"/>
        <n v="19393.599999999999"/>
        <n v="55779.6"/>
        <n v="240291.20000000001"/>
        <n v="10879984.4"/>
        <n v="269059"/>
        <n v="18280.400000000001"/>
        <n v="102137.7"/>
        <n v="10235"/>
        <n v="290657.5"/>
        <n v="1424960"/>
        <n v="5635"/>
        <n v="1119667.2"/>
        <n v="1255380"/>
        <n v="97603.95"/>
        <n v="8041.95"/>
        <n v="29486"/>
        <n v="3245322"/>
        <n v="131223.20000000001"/>
        <n v="18076.099999999999"/>
        <n v="4632590.0999999996"/>
        <n v="12618.76"/>
        <n v="10396"/>
        <n v="3567524"/>
        <n v="6670"/>
        <n v="71346"/>
        <n v="191540"/>
        <n v="4830"/>
        <n v="16918.8"/>
        <n v="19375.2"/>
        <n v="14145"/>
        <n v="163480"/>
        <n v="696864"/>
        <n v="16128.75"/>
        <n v="349895.7"/>
        <n v="115436.4"/>
        <n v="427543.2"/>
        <n v="251744.5"/>
        <n v="203787.5"/>
        <n v="7703.85"/>
        <n v="122079.3"/>
        <n v="94367"/>
        <n v="9867"/>
        <n v="11362"/>
        <n v="2254181.7999999998"/>
        <n v="128636.8"/>
        <n v="13090"/>
        <n v="434302.4"/>
        <n v="16660"/>
        <n v="1410320"/>
        <n v="674730"/>
        <n v="428952"/>
        <n v="6296.25"/>
        <n v="288865.5"/>
        <n v="749324"/>
        <n v="1107760"/>
        <n v="9373.65"/>
        <n v="64837.15"/>
        <n v="954772"/>
        <n v="20368.8"/>
        <n v="12092.25"/>
        <n v="559980"/>
        <n v="21038.1"/>
        <n v="481656"/>
        <n v="84790"/>
        <n v="7982.52"/>
        <n v="8096"/>
        <n v="13923"/>
        <n v="421331.4"/>
        <n v="24371.200000000001"/>
        <n v="54994.15"/>
        <n v="22134"/>
        <n v="28786.799999999999"/>
        <n v="1015503.6"/>
        <n v="34856.29"/>
        <n v="38655.96"/>
        <n v="1211216"/>
        <n v="3021610.6"/>
        <n v="55692"/>
        <n v="41037.75"/>
        <n v="22404.3"/>
        <n v="181170"/>
        <n v="220983"/>
        <n v="3091968"/>
        <n v="771227.1"/>
        <n v="59404.800000000003"/>
        <n v="14651"/>
        <n v="366366"/>
        <n v="406333.2"/>
        <n v="10621.4"/>
        <n v="1540128"/>
        <n v="1352443.2"/>
        <n v="3542880"/>
        <n v="302316"/>
        <n v="40548.06"/>
        <n v="643428"/>
        <n v="1033596.2"/>
        <n v="84843.55"/>
        <n v="723216"/>
        <n v="368745.3"/>
        <n v="338555"/>
        <n v="178500"/>
        <n v="312360.26"/>
        <n v="1783030"/>
        <n v="197873.2"/>
        <n v="841434"/>
        <n v="177266"/>
        <n v="17778.599999999999"/>
        <n v="418545.4"/>
        <n v="37281.85"/>
        <n v="2433900"/>
        <n v="6768072"/>
        <n v="9487.5"/>
        <n v="1925770"/>
        <n v="341307.2"/>
        <n v="372941.8"/>
        <n v="35855.85"/>
        <n v="474381.6"/>
        <n v="2530"/>
        <n v="3877770"/>
        <n v="106260"/>
        <n v="228837"/>
        <n v="6373.3"/>
        <n v="11612.7"/>
        <n v="588478.80000000005"/>
        <n v="10097"/>
        <n v="9032148"/>
        <n v="103994.1"/>
        <n v="572838.80000000005"/>
        <n v="25420.78"/>
        <n v="512936.8"/>
        <n v="10442"/>
        <n v="100602"/>
        <n v="655506"/>
        <n v="5579.91"/>
        <n v="2461228"/>
        <n v="11752.44"/>
        <n v="18216"/>
        <n v="30698.1"/>
        <n v="57048.6"/>
        <n v="55317.15"/>
        <n v="11951120"/>
        <n v="319872"/>
        <n v="3036336"/>
        <n v="26197.85"/>
        <n v="3329575.2"/>
        <n v="829834.6"/>
        <n v="4600"/>
        <n v="68872.44"/>
        <n v="273224"/>
        <n v="289140"/>
        <n v="331693.59999999998"/>
        <n v="29119.3"/>
        <n v="297024"/>
        <n v="569413.04"/>
        <n v="218841"/>
        <n v="365682.8"/>
        <n v="2300"/>
        <n v="3392332"/>
        <n v="58164.7"/>
        <n v="827224.66"/>
        <n v="40675.5"/>
        <n v="5520"/>
        <n v="3451380"/>
        <n v="640500"/>
        <n v="337127"/>
        <n v="2841014"/>
        <n v="72213.960000000006"/>
        <n v="5337378"/>
        <n v="8920274"/>
        <n v="4585614"/>
        <n v="60625.74"/>
        <n v="4839782.7"/>
        <n v="1602500.5"/>
        <n v="478522.8"/>
        <n v="28322"/>
        <n v="3019.9"/>
        <n v="334366.2"/>
        <n v="886104.3"/>
        <n v="21562.5"/>
        <n v="4320300.5999999996"/>
        <n v="2769400"/>
        <n v="567772.80000000005"/>
        <n v="8389.5"/>
        <n v="3053904"/>
        <n v="1810602"/>
        <n v="131516"/>
        <n v="17424.8"/>
        <n v="11681.04"/>
        <n v="3777120"/>
        <n v="693936"/>
        <n v="26046.720000000001"/>
        <n v="2334104"/>
      </sharedItems>
    </cacheField>
    <cacheField name="Profit" numFmtId="2">
      <sharedItems containsSemiMixedTypes="0" containsString="0" containsNumber="1" minValue="175.5" maxValue="2155120" count="497">
        <n v="102080"/>
        <n v="276320"/>
        <n v="17750.369999999995"/>
        <n v="3592.7999999999993"/>
        <n v="58558"/>
        <n v="10472.800000000003"/>
        <n v="3924.6399999999994"/>
        <n v="332.40000000000009"/>
        <n v="8793.1999999999971"/>
        <n v="5954.5999999999985"/>
        <n v="8658.3000000000029"/>
        <n v="3371.4000000000015"/>
        <n v="107756"/>
        <n v="3734.6399999999994"/>
        <n v="59100.799999999988"/>
        <n v="30001"/>
        <n v="66924"/>
        <n v="38931"/>
        <n v="2743.2000000000007"/>
        <n v="142912"/>
        <n v="147532"/>
        <n v="293700"/>
        <n v="260370"/>
        <n v="14856.479999999996"/>
        <n v="3780"/>
        <n v="33098"/>
        <n v="282282"/>
        <n v="79093.200000000012"/>
        <n v="103968"/>
        <n v="6804.8499999999985"/>
        <n v="118245.59999999998"/>
        <n v="50727.599999999977"/>
        <n v="10906.949999999997"/>
        <n v="797412"/>
        <n v="91872"/>
        <n v="732336"/>
        <n v="161427.19999999995"/>
        <n v="175.5"/>
        <n v="10436.32"/>
        <n v="3510"/>
        <n v="96195"/>
        <n v="198440"/>
        <n v="473668.79999999981"/>
        <n v="2309.4500000000007"/>
        <n v="56749.200000000012"/>
        <n v="354464"/>
        <n v="33120.799999999988"/>
        <n v="6726"/>
        <n v="413.55000000000018"/>
        <n v="1977"/>
        <n v="154394.23999999999"/>
        <n v="287.84999999999991"/>
        <n v="3512.7000000000007"/>
        <n v="7730.0999999999985"/>
        <n v="38630.799999999988"/>
        <n v="2282.4000000000015"/>
        <n v="412447.20000000019"/>
        <n v="9990.8999999999942"/>
        <n v="155848"/>
        <n v="7319.4000000000015"/>
        <n v="62154.400000000023"/>
        <n v="222640"/>
        <n v="80212"/>
        <n v="39102"/>
        <n v="6276.9000000000015"/>
        <n v="64077.200000000012"/>
        <n v="97612.5"/>
        <n v="11612.699999999997"/>
        <n v="4719.5999999999985"/>
        <n v="1155"/>
        <n v="4746.5999999999985"/>
        <n v="3060"/>
        <n v="374.25"/>
        <n v="13226.850000000006"/>
        <n v="116979.19999999995"/>
        <n v="373285"/>
        <n v="175560"/>
        <n v="1982640"/>
        <n v="4712"/>
        <n v="150480"/>
        <n v="20311"/>
        <n v="90992"/>
        <n v="186472"/>
        <n v="99002.199999999953"/>
        <n v="80985.599999999977"/>
        <n v="83714.400000000023"/>
        <n v="9386"/>
        <n v="1440.6000000000004"/>
        <n v="4897.1999999999971"/>
        <n v="8605.0999999999985"/>
        <n v="5439.5999999999985"/>
        <n v="56047.200000000012"/>
        <n v="654720"/>
        <n v="3093.3899999999994"/>
        <n v="189.90000000000009"/>
        <n v="17811.199999999997"/>
        <n v="8113"/>
        <n v="99738.599999999977"/>
        <n v="182495"/>
        <n v="12236"/>
        <n v="11976"/>
        <n v="3420"/>
        <n v="1632.4799999999996"/>
        <n v="97247.699999999953"/>
        <n v="47916"/>
        <n v="95790.400000000023"/>
        <n v="72547.200000000012"/>
        <n v="2489.4000000000015"/>
        <n v="187.5"/>
        <n v="24791.200000000012"/>
        <n v="118541"/>
        <n v="2973.119999999999"/>
        <n v="216788"/>
        <n v="2351.25"/>
        <n v="3695.4000000000015"/>
        <n v="3828.5999999999985"/>
        <n v="5500"/>
        <n v="323950"/>
        <n v="4669.1999999999971"/>
        <n v="5905.1999999999971"/>
        <n v="1380"/>
        <n v="151320.40000000002"/>
        <n v="8217"/>
        <n v="1560"/>
        <n v="479529.60000000009"/>
        <n v="32208.799999999988"/>
        <n v="3429"/>
        <n v="1325.1000000000004"/>
        <n v="383486.39999999991"/>
        <n v="5596.1999999999971"/>
        <n v="1035"/>
        <n v="3442.5"/>
        <n v="53130"/>
        <n v="4089.1500000000015"/>
        <n v="5304"/>
        <n v="273664.60000000009"/>
        <n v="6856.5"/>
        <n v="279694.80000000005"/>
        <n v="3433.9500000000007"/>
        <n v="9480.239999999998"/>
        <n v="46094.399999999994"/>
        <n v="43395"/>
        <n v="566.39999999999964"/>
        <n v="36113"/>
        <n v="120688"/>
        <n v="48668.400000000023"/>
        <n v="6340.1100000000006"/>
        <n v="114853.19999999995"/>
        <n v="2602.2399999999998"/>
        <n v="70994"/>
        <n v="32076"/>
        <n v="43878.599999999977"/>
        <n v="4350"/>
        <n v="511280"/>
        <n v="21714"/>
        <n v="818400"/>
        <n v="4500"/>
        <n v="1395"/>
        <n v="20711.899999999994"/>
        <n v="63840"/>
        <n v="12277.800000000003"/>
        <n v="4857.3000000000029"/>
        <n v="2183.67"/>
        <n v="516714"/>
        <n v="453138.39999999991"/>
        <n v="603064"/>
        <n v="3511.2000000000007"/>
        <n v="11244.199999999997"/>
        <n v="65282.799999999988"/>
        <n v="6275.5500000000029"/>
        <n v="3717.4500000000007"/>
        <n v="65149.099999999977"/>
        <n v="7557.5999999999985"/>
        <n v="87040.799999999988"/>
        <n v="8741.3999999999942"/>
        <n v="3067.2000000000007"/>
        <n v="24173.600000000006"/>
        <n v="6270.9499999999971"/>
        <n v="506.25"/>
        <n v="68442"/>
        <n v="111628"/>
        <n v="84451.199999999953"/>
        <n v="190647.60000000009"/>
        <n v="84920"/>
        <n v="8965"/>
        <n v="65168.400000000023"/>
        <n v="63452.400000000023"/>
        <n v="7335.5200000000041"/>
        <n v="2280"/>
        <n v="654"/>
        <n v="2043"/>
        <n v="15640.800000000003"/>
        <n v="23408"/>
        <n v="156695"/>
        <n v="142683.19999999995"/>
        <n v="9455.3999999999942"/>
        <n v="177276"/>
        <n v="1007837.5999999996"/>
        <n v="292512"/>
        <n v="11320.009999999995"/>
        <n v="9738.4499999999971"/>
        <n v="136136"/>
        <n v="10695.479999999996"/>
        <n v="513128"/>
        <n v="59796"/>
        <n v="114144.80000000005"/>
        <n v="108086"/>
        <n v="1389.6599999999999"/>
        <n v="1266144"/>
        <n v="3502.5"/>
        <n v="31329.100000000006"/>
        <n v="3904.5"/>
        <n v="46057"/>
        <n v="3987.7200000000012"/>
        <n v="381321.60000000009"/>
        <n v="2432.9500000000007"/>
        <n v="104733.19999999995"/>
        <n v="561.75"/>
        <n v="11544.399999999994"/>
        <n v="165176"/>
        <n v="37910.399999999994"/>
        <n v="177685.19999999995"/>
        <n v="20103.899999999994"/>
        <n v="10297.620000000003"/>
        <n v="31798.799999999988"/>
        <n v="7915.4000000000015"/>
        <n v="199464.32000000007"/>
        <n v="10725.5"/>
        <n v="61371.200000000012"/>
        <n v="1930.5"/>
        <n v="6670.8000000000029"/>
        <n v="60139.200000000012"/>
        <n v="260535"/>
        <n v="6505.5"/>
        <n v="30533"/>
        <n v="5790.1500000000015"/>
        <n v="41268"/>
        <n v="118294"/>
        <n v="7965"/>
        <n v="1179.2999999999993"/>
        <n v="168124"/>
        <n v="2791.5"/>
        <n v="394680"/>
        <n v="1402.2000000000007"/>
        <n v="28844.200000000012"/>
        <n v="1097.25"/>
        <n v="6904.5"/>
        <n v="64856"/>
        <n v="51328.200000000012"/>
        <n v="394812"/>
        <n v="52453.299999999988"/>
        <n v="25720.200000000012"/>
        <n v="15561"/>
        <n v="39107.200000000012"/>
        <n v="6670.9499999999971"/>
        <n v="2302.7999999999993"/>
        <n v="3732.75"/>
        <n v="2273.16"/>
        <n v="286000"/>
        <n v="243672"/>
        <n v="60078"/>
        <n v="852.14999999999964"/>
        <n v="285997.14000000013"/>
        <n v="284284"/>
        <n v="498652"/>
        <n v="594264"/>
        <n v="56313.400000000023"/>
        <n v="5422.5"/>
        <n v="26444"/>
        <n v="30360"/>
        <n v="10848"/>
        <n v="121296"/>
        <n v="702"/>
        <n v="7015.5"/>
        <n v="76084.799999999988"/>
        <n v="61875"/>
        <n v="6263.4000000000015"/>
        <n v="251.70000000000005"/>
        <n v="2357.5200000000004"/>
        <n v="53101.200000000012"/>
        <n v="1836.4500000000007"/>
        <n v="3490.9500000000007"/>
        <n v="11532.400000000001"/>
        <n v="40101.600000000006"/>
        <n v="288525.60000000009"/>
        <n v="53152"/>
        <n v="1572.75"/>
        <n v="173580"/>
        <n v="3309.0400000000009"/>
        <n v="79351.799999999988"/>
        <n v="6226.5"/>
        <n v="8755.1999999999971"/>
        <n v="2160"/>
        <n v="706.5"/>
        <n v="292600"/>
        <n v="107046"/>
        <n v="74100"/>
        <n v="161908.5"/>
        <n v="9710.5200000000041"/>
        <n v="2453.25"/>
        <n v="3978"/>
        <n v="478500"/>
        <n v="89859"/>
        <n v="19547.199999999997"/>
        <n v="2529.5999999999985"/>
        <n v="7275.5999999999985"/>
        <n v="43331.200000000012"/>
        <n v="1961964.4000000004"/>
        <n v="42959"/>
        <n v="2384.4000000000015"/>
        <n v="16307.699999999997"/>
        <n v="1335"/>
        <n v="46407.5"/>
        <n v="256960"/>
        <n v="735"/>
        <n v="201907.19999999995"/>
        <n v="226380"/>
        <n v="12730.949999999997"/>
        <n v="1048.9499999999998"/>
        <n v="3846"/>
        <n v="585222"/>
        <n v="23663.200000000012"/>
        <n v="2886.0999999999985"/>
        <n v="835385.09999999963"/>
        <n v="2014.7600000000002"/>
        <n v="1356"/>
        <n v="643324"/>
        <n v="870"/>
        <n v="9306"/>
        <n v="34540"/>
        <n v="630"/>
        <n v="2206.7999999999993"/>
        <n v="2527.2000000000007"/>
        <n v="1845"/>
        <n v="29480"/>
        <n v="125664"/>
        <n v="2103.75"/>
        <n v="55865.700000000012"/>
        <n v="20816.399999999994"/>
        <n v="68263.200000000012"/>
        <n v="40194.5"/>
        <n v="32537.5"/>
        <n v="1004.8500000000004"/>
        <n v="22014.300000000003"/>
        <n v="15067"/>
        <n v="1287"/>
        <n v="1482"/>
        <n v="406491.79999999981"/>
        <n v="23196.800000000003"/>
        <n v="2090"/>
        <n v="69342.400000000023"/>
        <n v="2660"/>
        <n v="254320"/>
        <n v="107730"/>
        <n v="77352"/>
        <n v="821.25"/>
        <n v="52090.5"/>
        <n v="135124"/>
        <n v="199760"/>
        <n v="1222.6499999999996"/>
        <n v="10352.150000000001"/>
        <n v="172172"/>
        <n v="2656.7999999999993"/>
        <n v="1577.25"/>
        <n v="100980"/>
        <n v="2744.0999999999985"/>
        <n v="86856"/>
        <n v="15290"/>
        <n v="1274.5200000000004"/>
        <n v="1056"/>
        <n v="2223"/>
        <n v="67271.400000000023"/>
        <n v="3891.2000000000007"/>
        <n v="7173.1500000000015"/>
        <n v="3534"/>
        <n v="3754.7999999999993"/>
        <n v="183123.59999999998"/>
        <n v="5565.2900000000009"/>
        <n v="6171.9599999999991"/>
        <n v="218416"/>
        <n v="544880.60000000009"/>
        <n v="8892"/>
        <n v="5352.75"/>
        <n v="16190.850000000006"/>
        <n v="2922.2999999999993"/>
        <n v="32670"/>
        <n v="35283"/>
        <n v="557568"/>
        <n v="123137.09999999998"/>
        <n v="9484.8000000000029"/>
        <n v="1911"/>
        <n v="66066"/>
        <n v="73273.200000000012"/>
        <n v="1385.3999999999996"/>
        <n v="277728"/>
        <n v="243883.19999999995"/>
        <n v="638880"/>
        <n v="54516"/>
        <n v="6474.0599999999977"/>
        <n v="116028"/>
        <n v="186386.19999999995"/>
        <n v="11066.550000000003"/>
        <n v="130416"/>
        <n v="58875.299999999988"/>
        <n v="54055"/>
        <n v="28500"/>
        <n v="56327.260000000009"/>
        <n v="321530"/>
        <n v="31593.200000000012"/>
        <n v="151734"/>
        <n v="31966"/>
        <n v="2838.5999999999985"/>
        <n v="75475.400000000023"/>
        <n v="4862.8499999999985"/>
        <n v="438900"/>
        <n v="1220472"/>
        <n v="1237.5"/>
        <n v="347270"/>
        <n v="61547.200000000012"/>
        <n v="67251.799999999988"/>
        <n v="4676.8499999999985"/>
        <n v="75741.599999999977"/>
        <n v="330"/>
        <n v="699270"/>
        <n v="13860"/>
        <n v="36537"/>
        <n v="831.30000000000018"/>
        <n v="1514.7000000000007"/>
        <n v="93958.800000000047"/>
        <n v="1317"/>
        <n v="1628748"/>
        <n v="16604.100000000006"/>
        <n v="103298.80000000005"/>
        <n v="4058.7799999999988"/>
        <n v="92496.799999999988"/>
        <n v="1362"/>
        <n v="13122"/>
        <n v="118206"/>
        <n v="890.90999999999985"/>
        <n v="443828"/>
        <n v="1876.4400000000005"/>
        <n v="2376"/>
        <n v="4004.0999999999985"/>
        <n v="9108.5999999999985"/>
        <n v="8832.1500000000015"/>
        <n v="2155120"/>
        <n v="51072"/>
        <n v="547536"/>
        <n v="4182.8499999999985"/>
        <n v="600415.20000000019"/>
        <n v="132494.59999999998"/>
        <n v="600"/>
        <n v="10996.440000000002"/>
        <n v="43624"/>
        <n v="52140"/>
        <n v="59813.599999999977"/>
        <n v="4649.2999999999993"/>
        <n v="47424"/>
        <n v="102681.04000000004"/>
        <n v="34941"/>
        <n v="65942.799999999988"/>
        <n v="300"/>
        <n v="611732"/>
        <n v="7586.6999999999971"/>
        <n v="149171.66000000003"/>
        <n v="5305.5"/>
        <n v="720"/>
        <n v="622380"/>
        <n v="115500"/>
        <n v="53827"/>
        <n v="512314"/>
        <n v="11529.960000000006"/>
        <n v="962478"/>
        <n v="1608574"/>
        <n v="826914"/>
        <n v="9679.739999999998"/>
        <n v="872747.70000000019"/>
        <n v="288975.5"/>
        <n v="76402.799999999988"/>
        <n v="4522"/>
        <n v="393.90000000000009"/>
        <n v="53386.200000000012"/>
        <n v="159789.30000000005"/>
        <n v="2812.5"/>
        <n v="779070.59999999963"/>
        <n v="499400"/>
        <n v="90652.800000000047"/>
        <n v="1339.5"/>
        <n v="550704"/>
        <n v="326502"/>
        <n v="23716"/>
        <n v="2272.7999999999993"/>
        <n v="1865.0400000000009"/>
        <n v="681120"/>
        <n v="125136"/>
        <n v="4158.7200000000012"/>
        <n v="420904"/>
      </sharedItems>
    </cacheField>
  </cacheFields>
  <extLst>
    <ext xmlns:x14="http://schemas.microsoft.com/office/spreadsheetml/2009/9/main" uri="{725AE2AE-9491-48be-B2B4-4EB974FC3084}">
      <x14:pivotCacheDefinition pivotCacheId="100688753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dana Verma" refreshedDate="46117.054565972219" createdVersion="8" refreshedVersion="8" minRefreshableVersion="3" recordCount="501" xr:uid="{BDD56D84-6479-48EF-A453-360435CF00A7}">
  <cacheSource type="worksheet">
    <worksheetSource ref="A1:O1048576" sheet="Worksheet"/>
  </cacheSource>
  <cacheFields count="16">
    <cacheField name="Order ID" numFmtId="0">
      <sharedItems containsBlank="1"/>
    </cacheField>
    <cacheField name="Order Date" numFmtId="0">
      <sharedItems containsBlank="1"/>
    </cacheField>
    <cacheField name="Month Name" numFmtId="0">
      <sharedItems containsBlank="1" count="13">
        <s v="October"/>
        <s v="April"/>
        <s v="May"/>
        <s v="September"/>
        <s v="July"/>
        <s v="August"/>
        <s v="November"/>
        <s v="June"/>
        <s v="January"/>
        <s v="February"/>
        <s v="March"/>
        <s v="December"/>
        <m/>
      </sharedItems>
    </cacheField>
    <cacheField name="Sales Person" numFmtId="0">
      <sharedItems containsBlank="1"/>
    </cacheField>
    <cacheField name="Region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Item Name" numFmtId="0">
      <sharedItems containsBlank="1"/>
    </cacheField>
    <cacheField name="Store Name" numFmtId="0">
      <sharedItems containsBlank="1"/>
    </cacheField>
    <cacheField name="Store Branch" numFmtId="0">
      <sharedItems containsBlank="1"/>
    </cacheField>
    <cacheField name="Item left " numFmtId="1">
      <sharedItems containsString="0" containsBlank="1" containsNumber="1" containsInteger="1" minValue="0" maxValue="100"/>
    </cacheField>
    <cacheField name="Item Sold" numFmtId="1">
      <sharedItems containsString="0" containsBlank="1" containsNumber="1" containsInteger="1" minValue="1" maxValue="20"/>
    </cacheField>
    <cacheField name="Cost Price/item" numFmtId="2">
      <sharedItems containsString="0" containsBlank="1" containsNumber="1" containsInteger="1" minValue="500" maxValue="665025"/>
    </cacheField>
    <cacheField name="Sales" numFmtId="2">
      <sharedItems containsString="0" containsBlank="1" containsNumber="1" minValue="1345.5" maxValue="11951120"/>
    </cacheField>
    <cacheField name="Profit Margin" numFmtId="2">
      <sharedItems containsString="0" containsBlank="1" containsNumber="1" minValue="0.13043478260869557" maxValue="0.18032786885245908"/>
    </cacheField>
    <cacheField name="Profit" numFmtId="2">
      <sharedItems containsString="0" containsBlank="1" containsNumber="1" minValue="175.5" maxValue="2155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0001"/>
    <s v="2024-10-26"/>
    <x v="0"/>
    <x v="0"/>
    <x v="0"/>
    <x v="0"/>
    <x v="0"/>
    <x v="0"/>
    <x v="0"/>
    <n v="76"/>
    <x v="0"/>
    <n v="58000"/>
    <x v="0"/>
    <x v="0"/>
  </r>
  <r>
    <s v="ORD0002"/>
    <s v="2024-04-10"/>
    <x v="0"/>
    <x v="0"/>
    <x v="0"/>
    <x v="0"/>
    <x v="0"/>
    <x v="0"/>
    <x v="1"/>
    <n v="31"/>
    <x v="1"/>
    <n v="78500"/>
    <x v="1"/>
    <x v="1"/>
  </r>
  <r>
    <s v="ORD0003"/>
    <s v="2024-05-11"/>
    <x v="1"/>
    <x v="0"/>
    <x v="1"/>
    <x v="1"/>
    <x v="1"/>
    <x v="1"/>
    <x v="2"/>
    <n v="84"/>
    <x v="2"/>
    <n v="4917"/>
    <x v="2"/>
    <x v="2"/>
  </r>
  <r>
    <s v="ORD0004"/>
    <s v="2024-04-03"/>
    <x v="1"/>
    <x v="1"/>
    <x v="2"/>
    <x v="2"/>
    <x v="2"/>
    <x v="2"/>
    <x v="0"/>
    <n v="86"/>
    <x v="0"/>
    <n v="2994"/>
    <x v="3"/>
    <x v="3"/>
  </r>
  <r>
    <s v="ORD0005"/>
    <s v="2024-09-06"/>
    <x v="2"/>
    <x v="1"/>
    <x v="1"/>
    <x v="3"/>
    <x v="3"/>
    <x v="1"/>
    <x v="3"/>
    <n v="75"/>
    <x v="3"/>
    <n v="30820"/>
    <x v="4"/>
    <x v="4"/>
  </r>
  <r>
    <s v="ORD0006"/>
    <s v="2024-09-05"/>
    <x v="3"/>
    <x v="0"/>
    <x v="1"/>
    <x v="3"/>
    <x v="3"/>
    <x v="1"/>
    <x v="2"/>
    <n v="90"/>
    <x v="4"/>
    <n v="27560"/>
    <x v="5"/>
    <x v="5"/>
  </r>
  <r>
    <s v="ORD0007"/>
    <s v="2024-07-06"/>
    <x v="4"/>
    <x v="0"/>
    <x v="1"/>
    <x v="1"/>
    <x v="1"/>
    <x v="1"/>
    <x v="3"/>
    <n v="73"/>
    <x v="1"/>
    <n v="1291"/>
    <x v="6"/>
    <x v="6"/>
  </r>
  <r>
    <s v="ORD0008"/>
    <s v="2024-08-17"/>
    <x v="5"/>
    <x v="2"/>
    <x v="2"/>
    <x v="4"/>
    <x v="4"/>
    <x v="2"/>
    <x v="2"/>
    <n v="15"/>
    <x v="4"/>
    <n v="1108"/>
    <x v="7"/>
    <x v="7"/>
  </r>
  <r>
    <s v="ORD0009"/>
    <s v="2024-10-15"/>
    <x v="0"/>
    <x v="3"/>
    <x v="1"/>
    <x v="3"/>
    <x v="3"/>
    <x v="1"/>
    <x v="1"/>
    <n v="60"/>
    <x v="5"/>
    <n v="11570"/>
    <x v="8"/>
    <x v="8"/>
  </r>
  <r>
    <s v="ORD0010"/>
    <s v="2024-11-24"/>
    <x v="0"/>
    <x v="0"/>
    <x v="1"/>
    <x v="3"/>
    <x v="3"/>
    <x v="1"/>
    <x v="0"/>
    <n v="64"/>
    <x v="4"/>
    <n v="15670"/>
    <x v="9"/>
    <x v="9"/>
  </r>
  <r>
    <s v="ORD0011"/>
    <s v="2024-06-02"/>
    <x v="3"/>
    <x v="1"/>
    <x v="1"/>
    <x v="3"/>
    <x v="3"/>
    <x v="1"/>
    <x v="2"/>
    <n v="28"/>
    <x v="6"/>
    <n v="45570"/>
    <x v="10"/>
    <x v="10"/>
  </r>
  <r>
    <s v="ORD0012"/>
    <s v="2024-08-13"/>
    <x v="4"/>
    <x v="0"/>
    <x v="2"/>
    <x v="4"/>
    <x v="4"/>
    <x v="2"/>
    <x v="3"/>
    <n v="82"/>
    <x v="7"/>
    <n v="1873"/>
    <x v="11"/>
    <x v="11"/>
  </r>
  <r>
    <s v="ORD0013"/>
    <s v="2024-06-28"/>
    <x v="1"/>
    <x v="1"/>
    <x v="0"/>
    <x v="5"/>
    <x v="5"/>
    <x v="3"/>
    <x v="3"/>
    <n v="10"/>
    <x v="3"/>
    <n v="48980"/>
    <x v="12"/>
    <x v="12"/>
  </r>
  <r>
    <s v="ORD0014"/>
    <s v="2024-06-15"/>
    <x v="4"/>
    <x v="1"/>
    <x v="1"/>
    <x v="1"/>
    <x v="1"/>
    <x v="1"/>
    <x v="1"/>
    <n v="66"/>
    <x v="8"/>
    <n v="2808"/>
    <x v="13"/>
    <x v="13"/>
  </r>
  <r>
    <s v="ORD0015"/>
    <s v="2024-01-06"/>
    <x v="4"/>
    <x v="2"/>
    <x v="0"/>
    <x v="0"/>
    <x v="0"/>
    <x v="0"/>
    <x v="0"/>
    <n v="21"/>
    <x v="0"/>
    <n v="33580"/>
    <x v="14"/>
    <x v="14"/>
  </r>
  <r>
    <s v="ORD0016"/>
    <s v="2024-05-20"/>
    <x v="4"/>
    <x v="3"/>
    <x v="1"/>
    <x v="3"/>
    <x v="3"/>
    <x v="1"/>
    <x v="0"/>
    <n v="45"/>
    <x v="9"/>
    <n v="31580"/>
    <x v="15"/>
    <x v="15"/>
  </r>
  <r>
    <s v="ORD0017"/>
    <s v="2024-07-05"/>
    <x v="3"/>
    <x v="0"/>
    <x v="0"/>
    <x v="5"/>
    <x v="5"/>
    <x v="3"/>
    <x v="1"/>
    <n v="88"/>
    <x v="10"/>
    <n v="33800"/>
    <x v="16"/>
    <x v="16"/>
  </r>
  <r>
    <s v="ORD0018"/>
    <s v="2024-02-11"/>
    <x v="3"/>
    <x v="2"/>
    <x v="1"/>
    <x v="3"/>
    <x v="3"/>
    <x v="1"/>
    <x v="0"/>
    <n v="92"/>
    <x v="11"/>
    <n v="34150"/>
    <x v="17"/>
    <x v="17"/>
  </r>
  <r>
    <s v="ORD0019"/>
    <s v="2024-01-07"/>
    <x v="4"/>
    <x v="2"/>
    <x v="2"/>
    <x v="4"/>
    <x v="4"/>
    <x v="2"/>
    <x v="0"/>
    <n v="26"/>
    <x v="5"/>
    <n v="4572"/>
    <x v="18"/>
    <x v="18"/>
  </r>
  <r>
    <s v="ORD0020"/>
    <s v="2024-02-04"/>
    <x v="3"/>
    <x v="1"/>
    <x v="0"/>
    <x v="5"/>
    <x v="5"/>
    <x v="3"/>
    <x v="4"/>
    <n v="47"/>
    <x v="12"/>
    <n v="46400"/>
    <x v="19"/>
    <x v="19"/>
  </r>
  <r>
    <s v="ORD0021"/>
    <s v="2024-11-09"/>
    <x v="2"/>
    <x v="2"/>
    <x v="0"/>
    <x v="5"/>
    <x v="5"/>
    <x v="3"/>
    <x v="4"/>
    <n v="55"/>
    <x v="12"/>
    <n v="47900"/>
    <x v="20"/>
    <x v="20"/>
  </r>
  <r>
    <s v="ORD0022"/>
    <s v="2024-05-28"/>
    <x v="4"/>
    <x v="1"/>
    <x v="0"/>
    <x v="5"/>
    <x v="5"/>
    <x v="3"/>
    <x v="4"/>
    <n v="31"/>
    <x v="13"/>
    <n v="89000"/>
    <x v="21"/>
    <x v="21"/>
  </r>
  <r>
    <s v="ORD0023"/>
    <s v="2024-06-25"/>
    <x v="5"/>
    <x v="3"/>
    <x v="0"/>
    <x v="0"/>
    <x v="0"/>
    <x v="3"/>
    <x v="3"/>
    <n v="56"/>
    <x v="13"/>
    <n v="78900"/>
    <x v="22"/>
    <x v="22"/>
  </r>
  <r>
    <s v="ORD0024"/>
    <s v="2024-01-15"/>
    <x v="2"/>
    <x v="2"/>
    <x v="1"/>
    <x v="1"/>
    <x v="1"/>
    <x v="1"/>
    <x v="2"/>
    <n v="46"/>
    <x v="14"/>
    <n v="4344"/>
    <x v="23"/>
    <x v="23"/>
  </r>
  <r>
    <s v="ORD0025"/>
    <s v="2024-06-21"/>
    <x v="5"/>
    <x v="2"/>
    <x v="2"/>
    <x v="4"/>
    <x v="4"/>
    <x v="2"/>
    <x v="4"/>
    <n v="35"/>
    <x v="14"/>
    <n v="1400"/>
    <x v="24"/>
    <x v="24"/>
  </r>
  <r>
    <s v="ORD0026"/>
    <s v="2024-07-24"/>
    <x v="5"/>
    <x v="0"/>
    <x v="1"/>
    <x v="3"/>
    <x v="3"/>
    <x v="1"/>
    <x v="0"/>
    <n v="82"/>
    <x v="9"/>
    <n v="34840"/>
    <x v="25"/>
    <x v="25"/>
  </r>
  <r>
    <s v="ORD0027"/>
    <s v="2024-07-15"/>
    <x v="4"/>
    <x v="2"/>
    <x v="0"/>
    <x v="0"/>
    <x v="0"/>
    <x v="3"/>
    <x v="0"/>
    <n v="35"/>
    <x v="15"/>
    <n v="98700"/>
    <x v="26"/>
    <x v="26"/>
  </r>
  <r>
    <s v="ORD0028"/>
    <s v="2024-07-10"/>
    <x v="2"/>
    <x v="1"/>
    <x v="1"/>
    <x v="3"/>
    <x v="3"/>
    <x v="1"/>
    <x v="2"/>
    <n v="30"/>
    <x v="7"/>
    <n v="34690"/>
    <x v="27"/>
    <x v="27"/>
  </r>
  <r>
    <s v="ORD0029"/>
    <s v="2024-03-02"/>
    <x v="1"/>
    <x v="3"/>
    <x v="1"/>
    <x v="3"/>
    <x v="3"/>
    <x v="1"/>
    <x v="0"/>
    <n v="69"/>
    <x v="14"/>
    <n v="30400"/>
    <x v="28"/>
    <x v="28"/>
  </r>
  <r>
    <s v="ORD0030"/>
    <s v="2024-11-02"/>
    <x v="0"/>
    <x v="2"/>
    <x v="1"/>
    <x v="1"/>
    <x v="1"/>
    <x v="1"/>
    <x v="3"/>
    <n v="60"/>
    <x v="15"/>
    <n v="2755"/>
    <x v="29"/>
    <x v="29"/>
  </r>
  <r>
    <s v="ORD0031"/>
    <s v="2024-03-26"/>
    <x v="4"/>
    <x v="1"/>
    <x v="0"/>
    <x v="5"/>
    <x v="5"/>
    <x v="0"/>
    <x v="2"/>
    <n v="34"/>
    <x v="7"/>
    <n v="44790"/>
    <x v="30"/>
    <x v="30"/>
  </r>
  <r>
    <s v="ORD0032"/>
    <s v="2024-09-24"/>
    <x v="4"/>
    <x v="1"/>
    <x v="0"/>
    <x v="0"/>
    <x v="0"/>
    <x v="3"/>
    <x v="4"/>
    <n v="21"/>
    <x v="11"/>
    <n v="38430"/>
    <x v="31"/>
    <x v="31"/>
  </r>
  <r>
    <s v="ORD0033"/>
    <s v="2024-12-14"/>
    <x v="2"/>
    <x v="1"/>
    <x v="1"/>
    <x v="1"/>
    <x v="1"/>
    <x v="1"/>
    <x v="0"/>
    <n v="40"/>
    <x v="13"/>
    <n v="3827"/>
    <x v="32"/>
    <x v="32"/>
  </r>
  <r>
    <s v="ORD0034"/>
    <s v="2024-03-08"/>
    <x v="5"/>
    <x v="0"/>
    <x v="0"/>
    <x v="0"/>
    <x v="0"/>
    <x v="3"/>
    <x v="3"/>
    <n v="100"/>
    <x v="12"/>
    <n v="258900"/>
    <x v="33"/>
    <x v="33"/>
  </r>
  <r>
    <s v="ORD0035"/>
    <s v="2024-11-13"/>
    <x v="3"/>
    <x v="3"/>
    <x v="0"/>
    <x v="6"/>
    <x v="6"/>
    <x v="3"/>
    <x v="2"/>
    <n v="55"/>
    <x v="6"/>
    <n v="417600"/>
    <x v="34"/>
    <x v="34"/>
  </r>
  <r>
    <s v="ORD0036"/>
    <s v="2024-09-15"/>
    <x v="0"/>
    <x v="1"/>
    <x v="0"/>
    <x v="5"/>
    <x v="5"/>
    <x v="0"/>
    <x v="4"/>
    <n v="59"/>
    <x v="2"/>
    <n v="175200"/>
    <x v="35"/>
    <x v="35"/>
  </r>
  <r>
    <s v="ORD0037"/>
    <s v="2024-01-02"/>
    <x v="0"/>
    <x v="0"/>
    <x v="0"/>
    <x v="0"/>
    <x v="0"/>
    <x v="0"/>
    <x v="0"/>
    <n v="98"/>
    <x v="1"/>
    <n v="45860"/>
    <x v="36"/>
    <x v="36"/>
  </r>
  <r>
    <s v="ORD0038"/>
    <s v="2024-09-21"/>
    <x v="0"/>
    <x v="0"/>
    <x v="2"/>
    <x v="2"/>
    <x v="2"/>
    <x v="2"/>
    <x v="3"/>
    <n v="34"/>
    <x v="6"/>
    <n v="1170"/>
    <x v="37"/>
    <x v="37"/>
  </r>
  <r>
    <s v="ORD0039"/>
    <s v="2024-11-14"/>
    <x v="1"/>
    <x v="2"/>
    <x v="1"/>
    <x v="1"/>
    <x v="1"/>
    <x v="1"/>
    <x v="0"/>
    <n v="18"/>
    <x v="1"/>
    <n v="3433"/>
    <x v="38"/>
    <x v="38"/>
  </r>
  <r>
    <s v="ORD0040"/>
    <s v="2024-05-16"/>
    <x v="3"/>
    <x v="3"/>
    <x v="2"/>
    <x v="4"/>
    <x v="4"/>
    <x v="2"/>
    <x v="1"/>
    <n v="40"/>
    <x v="14"/>
    <n v="1300"/>
    <x v="39"/>
    <x v="39"/>
  </r>
  <r>
    <s v="ORD0041"/>
    <s v="2024-11-21"/>
    <x v="3"/>
    <x v="3"/>
    <x v="0"/>
    <x v="0"/>
    <x v="0"/>
    <x v="3"/>
    <x v="0"/>
    <n v="5"/>
    <x v="13"/>
    <n v="29150"/>
    <x v="40"/>
    <x v="40"/>
  </r>
  <r>
    <s v="ORD0042"/>
    <s v="2024-04-02"/>
    <x v="3"/>
    <x v="3"/>
    <x v="0"/>
    <x v="6"/>
    <x v="6"/>
    <x v="3"/>
    <x v="1"/>
    <n v="62"/>
    <x v="4"/>
    <n v="451000"/>
    <x v="41"/>
    <x v="41"/>
  </r>
  <r>
    <s v="ORD0043"/>
    <s v="2024-10-18"/>
    <x v="2"/>
    <x v="1"/>
    <x v="0"/>
    <x v="0"/>
    <x v="0"/>
    <x v="3"/>
    <x v="2"/>
    <n v="66"/>
    <x v="11"/>
    <n v="358840"/>
    <x v="42"/>
    <x v="42"/>
  </r>
  <r>
    <s v="ORD0044"/>
    <s v="2024-04-22"/>
    <x v="2"/>
    <x v="2"/>
    <x v="1"/>
    <x v="1"/>
    <x v="1"/>
    <x v="1"/>
    <x v="0"/>
    <n v="21"/>
    <x v="16"/>
    <n v="1105"/>
    <x v="43"/>
    <x v="43"/>
  </r>
  <r>
    <s v="ORD0045"/>
    <s v="2024-08-28"/>
    <x v="2"/>
    <x v="3"/>
    <x v="1"/>
    <x v="3"/>
    <x v="3"/>
    <x v="1"/>
    <x v="1"/>
    <n v="61"/>
    <x v="2"/>
    <n v="15720"/>
    <x v="44"/>
    <x v="44"/>
  </r>
  <r>
    <s v="ORD0046"/>
    <s v="2024-07-11"/>
    <x v="2"/>
    <x v="3"/>
    <x v="0"/>
    <x v="5"/>
    <x v="5"/>
    <x v="3"/>
    <x v="3"/>
    <n v="99"/>
    <x v="0"/>
    <n v="201400"/>
    <x v="45"/>
    <x v="45"/>
  </r>
  <r>
    <s v="ORD0047"/>
    <s v="2024-10-28"/>
    <x v="1"/>
    <x v="1"/>
    <x v="1"/>
    <x v="3"/>
    <x v="3"/>
    <x v="1"/>
    <x v="3"/>
    <n v="63"/>
    <x v="5"/>
    <n v="43580"/>
    <x v="46"/>
    <x v="46"/>
  </r>
  <r>
    <s v="ORD0048"/>
    <s v="2024-08-06"/>
    <x v="1"/>
    <x v="1"/>
    <x v="1"/>
    <x v="3"/>
    <x v="3"/>
    <x v="1"/>
    <x v="2"/>
    <n v="82"/>
    <x v="4"/>
    <n v="17700"/>
    <x v="47"/>
    <x v="47"/>
  </r>
  <r>
    <s v="ORD0049"/>
    <s v="2024-12-08"/>
    <x v="2"/>
    <x v="0"/>
    <x v="2"/>
    <x v="2"/>
    <x v="2"/>
    <x v="2"/>
    <x v="0"/>
    <n v="75"/>
    <x v="17"/>
    <n v="919"/>
    <x v="48"/>
    <x v="48"/>
  </r>
  <r>
    <s v="ORD0050"/>
    <s v="2024-05-06"/>
    <x v="4"/>
    <x v="0"/>
    <x v="2"/>
    <x v="4"/>
    <x v="4"/>
    <x v="2"/>
    <x v="0"/>
    <n v="63"/>
    <x v="5"/>
    <n v="3295"/>
    <x v="49"/>
    <x v="49"/>
  </r>
  <r>
    <s v="ORD0051"/>
    <s v="2024-11-19"/>
    <x v="1"/>
    <x v="0"/>
    <x v="0"/>
    <x v="0"/>
    <x v="0"/>
    <x v="3"/>
    <x v="0"/>
    <n v="8"/>
    <x v="8"/>
    <n v="100256"/>
    <x v="50"/>
    <x v="50"/>
  </r>
  <r>
    <s v="ORD0052"/>
    <s v="2024-11-16"/>
    <x v="3"/>
    <x v="1"/>
    <x v="1"/>
    <x v="1"/>
    <x v="1"/>
    <x v="1"/>
    <x v="4"/>
    <n v="26"/>
    <x v="6"/>
    <n v="1515"/>
    <x v="51"/>
    <x v="51"/>
  </r>
  <r>
    <s v="ORD0053"/>
    <s v="2024-02-26"/>
    <x v="4"/>
    <x v="3"/>
    <x v="2"/>
    <x v="2"/>
    <x v="2"/>
    <x v="4"/>
    <x v="3"/>
    <n v="92"/>
    <x v="11"/>
    <n v="3903"/>
    <x v="52"/>
    <x v="52"/>
  </r>
  <r>
    <s v="ORD0054"/>
    <s v="2024-05-02"/>
    <x v="2"/>
    <x v="2"/>
    <x v="2"/>
    <x v="2"/>
    <x v="2"/>
    <x v="2"/>
    <x v="1"/>
    <n v="11"/>
    <x v="14"/>
    <n v="2863"/>
    <x v="53"/>
    <x v="53"/>
  </r>
  <r>
    <s v="ORD0055"/>
    <s v="2024-10-09"/>
    <x v="1"/>
    <x v="3"/>
    <x v="1"/>
    <x v="3"/>
    <x v="3"/>
    <x v="1"/>
    <x v="3"/>
    <n v="89"/>
    <x v="18"/>
    <n v="11960"/>
    <x v="54"/>
    <x v="54"/>
  </r>
  <r>
    <s v="ORD0056"/>
    <s v="2024-12-17"/>
    <x v="5"/>
    <x v="3"/>
    <x v="2"/>
    <x v="2"/>
    <x v="2"/>
    <x v="2"/>
    <x v="3"/>
    <n v="27"/>
    <x v="7"/>
    <n v="1268"/>
    <x v="55"/>
    <x v="55"/>
  </r>
  <r>
    <s v="ORD0057"/>
    <s v="2024-12-30"/>
    <x v="2"/>
    <x v="2"/>
    <x v="0"/>
    <x v="6"/>
    <x v="6"/>
    <x v="3"/>
    <x v="2"/>
    <n v="60"/>
    <x v="7"/>
    <n v="156230"/>
    <x v="56"/>
    <x v="56"/>
  </r>
  <r>
    <s v="ORD0058"/>
    <s v="2024-11-30"/>
    <x v="5"/>
    <x v="2"/>
    <x v="2"/>
    <x v="4"/>
    <x v="4"/>
    <x v="2"/>
    <x v="3"/>
    <n v="49"/>
    <x v="18"/>
    <n v="3918"/>
    <x v="57"/>
    <x v="57"/>
  </r>
  <r>
    <s v="ORD0059"/>
    <s v="2024-01-30"/>
    <x v="4"/>
    <x v="1"/>
    <x v="0"/>
    <x v="5"/>
    <x v="5"/>
    <x v="3"/>
    <x v="3"/>
    <n v="71"/>
    <x v="19"/>
    <n v="35420"/>
    <x v="58"/>
    <x v="58"/>
  </r>
  <r>
    <s v="ORD0060"/>
    <s v="2024-02-04"/>
    <x v="3"/>
    <x v="0"/>
    <x v="0"/>
    <x v="0"/>
    <x v="0"/>
    <x v="3"/>
    <x v="0"/>
    <n v="36"/>
    <x v="6"/>
    <n v="33270"/>
    <x v="59"/>
    <x v="59"/>
  </r>
  <r>
    <s v="ORD0061"/>
    <s v="2024-09-21"/>
    <x v="3"/>
    <x v="3"/>
    <x v="0"/>
    <x v="0"/>
    <x v="0"/>
    <x v="3"/>
    <x v="2"/>
    <n v="100"/>
    <x v="8"/>
    <n v="40360"/>
    <x v="60"/>
    <x v="60"/>
  </r>
  <r>
    <s v="ORD0062"/>
    <s v="2024-02-24"/>
    <x v="4"/>
    <x v="1"/>
    <x v="0"/>
    <x v="5"/>
    <x v="5"/>
    <x v="3"/>
    <x v="2"/>
    <n v="9"/>
    <x v="19"/>
    <n v="50600"/>
    <x v="61"/>
    <x v="61"/>
  </r>
  <r>
    <s v="ORD0063"/>
    <s v="2024-03-30"/>
    <x v="3"/>
    <x v="3"/>
    <x v="0"/>
    <x v="5"/>
    <x v="5"/>
    <x v="3"/>
    <x v="2"/>
    <n v="56"/>
    <x v="4"/>
    <n v="182300"/>
    <x v="62"/>
    <x v="62"/>
  </r>
  <r>
    <s v="ORD0064"/>
    <s v="2024-10-11"/>
    <x v="3"/>
    <x v="2"/>
    <x v="1"/>
    <x v="3"/>
    <x v="3"/>
    <x v="1"/>
    <x v="4"/>
    <n v="51"/>
    <x v="11"/>
    <n v="34300"/>
    <x v="63"/>
    <x v="63"/>
  </r>
  <r>
    <s v="ORD0065"/>
    <s v="2024-05-03"/>
    <x v="3"/>
    <x v="0"/>
    <x v="2"/>
    <x v="4"/>
    <x v="4"/>
    <x v="2"/>
    <x v="3"/>
    <n v="41"/>
    <x v="12"/>
    <n v="2989"/>
    <x v="64"/>
    <x v="64"/>
  </r>
  <r>
    <s v="ORD0066"/>
    <s v="2024-09-19"/>
    <x v="5"/>
    <x v="1"/>
    <x v="0"/>
    <x v="6"/>
    <x v="6"/>
    <x v="3"/>
    <x v="2"/>
    <n v="54"/>
    <x v="4"/>
    <n v="145630"/>
    <x v="65"/>
    <x v="65"/>
  </r>
  <r>
    <s v="ORD0067"/>
    <s v="2024-07-20"/>
    <x v="2"/>
    <x v="3"/>
    <x v="1"/>
    <x v="3"/>
    <x v="3"/>
    <x v="1"/>
    <x v="2"/>
    <n v="85"/>
    <x v="13"/>
    <n v="34250"/>
    <x v="66"/>
    <x v="66"/>
  </r>
  <r>
    <s v="ORD0068"/>
    <s v="2024-06-08"/>
    <x v="5"/>
    <x v="0"/>
    <x v="2"/>
    <x v="4"/>
    <x v="4"/>
    <x v="2"/>
    <x v="1"/>
    <n v="81"/>
    <x v="14"/>
    <n v="4301"/>
    <x v="67"/>
    <x v="67"/>
  </r>
  <r>
    <s v="ORD0069"/>
    <s v="2024-11-15"/>
    <x v="1"/>
    <x v="3"/>
    <x v="1"/>
    <x v="1"/>
    <x v="1"/>
    <x v="1"/>
    <x v="3"/>
    <n v="52"/>
    <x v="13"/>
    <n v="1656"/>
    <x v="68"/>
    <x v="68"/>
  </r>
  <r>
    <s v="ORD0070"/>
    <s v="2024-11-06"/>
    <x v="1"/>
    <x v="3"/>
    <x v="2"/>
    <x v="4"/>
    <x v="4"/>
    <x v="2"/>
    <x v="2"/>
    <n v="46"/>
    <x v="8"/>
    <n v="1100"/>
    <x v="69"/>
    <x v="69"/>
  </r>
  <r>
    <s v="ORD0071"/>
    <s v="2024-07-11"/>
    <x v="3"/>
    <x v="0"/>
    <x v="2"/>
    <x v="2"/>
    <x v="2"/>
    <x v="2"/>
    <x v="2"/>
    <n v="92"/>
    <x v="10"/>
    <n v="3516"/>
    <x v="70"/>
    <x v="70"/>
  </r>
  <r>
    <s v="ORD0072"/>
    <s v="2024-01-12"/>
    <x v="0"/>
    <x v="1"/>
    <x v="2"/>
    <x v="4"/>
    <x v="4"/>
    <x v="2"/>
    <x v="2"/>
    <n v="33"/>
    <x v="11"/>
    <n v="3400"/>
    <x v="71"/>
    <x v="71"/>
  </r>
  <r>
    <s v="ORD0073"/>
    <s v="2024-08-11"/>
    <x v="0"/>
    <x v="0"/>
    <x v="2"/>
    <x v="2"/>
    <x v="2"/>
    <x v="2"/>
    <x v="0"/>
    <n v="27"/>
    <x v="6"/>
    <n v="2495"/>
    <x v="72"/>
    <x v="72"/>
  </r>
  <r>
    <s v="ORD0074"/>
    <s v="2024-01-25"/>
    <x v="5"/>
    <x v="1"/>
    <x v="2"/>
    <x v="2"/>
    <x v="2"/>
    <x v="2"/>
    <x v="1"/>
    <n v="24"/>
    <x v="2"/>
    <n v="4641"/>
    <x v="73"/>
    <x v="73"/>
  </r>
  <r>
    <s v="ORD0075"/>
    <s v="2024-05-09"/>
    <x v="5"/>
    <x v="0"/>
    <x v="1"/>
    <x v="3"/>
    <x v="3"/>
    <x v="1"/>
    <x v="3"/>
    <n v="100"/>
    <x v="1"/>
    <n v="38480"/>
    <x v="74"/>
    <x v="74"/>
  </r>
  <r>
    <s v="ORD0076"/>
    <s v="2024-04-23"/>
    <x v="1"/>
    <x v="3"/>
    <x v="0"/>
    <x v="6"/>
    <x v="6"/>
    <x v="0"/>
    <x v="1"/>
    <n v="91"/>
    <x v="16"/>
    <n v="154250"/>
    <x v="75"/>
    <x v="75"/>
  </r>
  <r>
    <s v="ORD0077"/>
    <s v="2024-02-08"/>
    <x v="3"/>
    <x v="2"/>
    <x v="0"/>
    <x v="0"/>
    <x v="0"/>
    <x v="0"/>
    <x v="3"/>
    <n v="35"/>
    <x v="3"/>
    <n v="79800"/>
    <x v="76"/>
    <x v="76"/>
  </r>
  <r>
    <s v="ORD0078"/>
    <s v="2024-01-01"/>
    <x v="0"/>
    <x v="0"/>
    <x v="0"/>
    <x v="6"/>
    <x v="6"/>
    <x v="0"/>
    <x v="1"/>
    <n v="59"/>
    <x v="19"/>
    <n v="450600"/>
    <x v="77"/>
    <x v="77"/>
  </r>
  <r>
    <s v="ORD0079"/>
    <s v="2024-09-26"/>
    <x v="0"/>
    <x v="1"/>
    <x v="1"/>
    <x v="3"/>
    <x v="3"/>
    <x v="1"/>
    <x v="3"/>
    <n v="78"/>
    <x v="6"/>
    <n v="24800"/>
    <x v="78"/>
    <x v="78"/>
  </r>
  <r>
    <s v="ORD0080"/>
    <s v="2024-03-04"/>
    <x v="4"/>
    <x v="1"/>
    <x v="0"/>
    <x v="0"/>
    <x v="0"/>
    <x v="0"/>
    <x v="3"/>
    <n v="72"/>
    <x v="13"/>
    <n v="45600"/>
    <x v="79"/>
    <x v="79"/>
  </r>
  <r>
    <s v="ORD0081"/>
    <s v="2024-12-14"/>
    <x v="2"/>
    <x v="1"/>
    <x v="1"/>
    <x v="3"/>
    <x v="3"/>
    <x v="1"/>
    <x v="2"/>
    <n v="27"/>
    <x v="9"/>
    <n v="21380"/>
    <x v="80"/>
    <x v="80"/>
  </r>
  <r>
    <s v="ORD0082"/>
    <s v="2024-11-26"/>
    <x v="3"/>
    <x v="2"/>
    <x v="0"/>
    <x v="5"/>
    <x v="5"/>
    <x v="0"/>
    <x v="3"/>
    <n v="38"/>
    <x v="0"/>
    <n v="51700"/>
    <x v="81"/>
    <x v="81"/>
  </r>
  <r>
    <s v="ORD0083"/>
    <s v="2024-01-19"/>
    <x v="5"/>
    <x v="3"/>
    <x v="0"/>
    <x v="6"/>
    <x v="6"/>
    <x v="0"/>
    <x v="3"/>
    <n v="18"/>
    <x v="15"/>
    <n v="65200"/>
    <x v="82"/>
    <x v="82"/>
  </r>
  <r>
    <s v="ORD0084"/>
    <s v="2024-09-02"/>
    <x v="3"/>
    <x v="0"/>
    <x v="0"/>
    <x v="5"/>
    <x v="5"/>
    <x v="3"/>
    <x v="0"/>
    <n v="96"/>
    <x v="16"/>
    <n v="40910"/>
    <x v="83"/>
    <x v="83"/>
  </r>
  <r>
    <s v="ORD0085"/>
    <s v="2024-07-15"/>
    <x v="4"/>
    <x v="1"/>
    <x v="1"/>
    <x v="3"/>
    <x v="3"/>
    <x v="1"/>
    <x v="3"/>
    <n v="15"/>
    <x v="10"/>
    <n v="47360"/>
    <x v="84"/>
    <x v="84"/>
  </r>
  <r>
    <s v="ORD0086"/>
    <s v="2024-11-06"/>
    <x v="5"/>
    <x v="3"/>
    <x v="0"/>
    <x v="5"/>
    <x v="5"/>
    <x v="3"/>
    <x v="0"/>
    <n v="3"/>
    <x v="10"/>
    <n v="42280"/>
    <x v="85"/>
    <x v="85"/>
  </r>
  <r>
    <s v="ORD0087"/>
    <s v="2024-07-12"/>
    <x v="4"/>
    <x v="3"/>
    <x v="1"/>
    <x v="3"/>
    <x v="3"/>
    <x v="1"/>
    <x v="3"/>
    <n v="81"/>
    <x v="4"/>
    <n v="24700"/>
    <x v="86"/>
    <x v="86"/>
  </r>
  <r>
    <s v="ORD0088"/>
    <s v="2024-11-13"/>
    <x v="0"/>
    <x v="0"/>
    <x v="2"/>
    <x v="4"/>
    <x v="4"/>
    <x v="2"/>
    <x v="1"/>
    <n v="64"/>
    <x v="4"/>
    <n v="4802"/>
    <x v="87"/>
    <x v="87"/>
  </r>
  <r>
    <s v="ORD0089"/>
    <s v="2024-12-31"/>
    <x v="3"/>
    <x v="1"/>
    <x v="2"/>
    <x v="2"/>
    <x v="2"/>
    <x v="2"/>
    <x v="3"/>
    <n v="51"/>
    <x v="8"/>
    <n v="4664"/>
    <x v="88"/>
    <x v="88"/>
  </r>
  <r>
    <s v="ORD0090"/>
    <s v="2024-12-30"/>
    <x v="3"/>
    <x v="1"/>
    <x v="1"/>
    <x v="3"/>
    <x v="3"/>
    <x v="1"/>
    <x v="2"/>
    <n v="20"/>
    <x v="6"/>
    <n v="45290"/>
    <x v="89"/>
    <x v="89"/>
  </r>
  <r>
    <s v="ORD0091"/>
    <s v="2024-10-30"/>
    <x v="1"/>
    <x v="3"/>
    <x v="2"/>
    <x v="2"/>
    <x v="2"/>
    <x v="2"/>
    <x v="0"/>
    <n v="0"/>
    <x v="7"/>
    <n v="3022"/>
    <x v="90"/>
    <x v="90"/>
  </r>
  <r>
    <s v="ORD0092"/>
    <s v="2024-03-14"/>
    <x v="4"/>
    <x v="0"/>
    <x v="0"/>
    <x v="0"/>
    <x v="0"/>
    <x v="3"/>
    <x v="4"/>
    <n v="16"/>
    <x v="7"/>
    <n v="21230"/>
    <x v="91"/>
    <x v="91"/>
  </r>
  <r>
    <s v="ORD0093"/>
    <s v="2024-01-07"/>
    <x v="0"/>
    <x v="3"/>
    <x v="0"/>
    <x v="5"/>
    <x v="5"/>
    <x v="0"/>
    <x v="1"/>
    <n v="24"/>
    <x v="1"/>
    <n v="186000"/>
    <x v="92"/>
    <x v="92"/>
  </r>
  <r>
    <s v="ORD0094"/>
    <s v="2024-01-21"/>
    <x v="2"/>
    <x v="3"/>
    <x v="1"/>
    <x v="1"/>
    <x v="1"/>
    <x v="1"/>
    <x v="4"/>
    <n v="15"/>
    <x v="10"/>
    <n v="1809"/>
    <x v="93"/>
    <x v="93"/>
  </r>
  <r>
    <s v="ORD0095"/>
    <s v="2024-09-28"/>
    <x v="1"/>
    <x v="1"/>
    <x v="2"/>
    <x v="2"/>
    <x v="2"/>
    <x v="2"/>
    <x v="1"/>
    <n v="71"/>
    <x v="6"/>
    <n v="1266"/>
    <x v="94"/>
    <x v="94"/>
  </r>
  <r>
    <s v="ORD0096"/>
    <s v="2024-03-12"/>
    <x v="1"/>
    <x v="2"/>
    <x v="0"/>
    <x v="5"/>
    <x v="5"/>
    <x v="0"/>
    <x v="3"/>
    <n v="86"/>
    <x v="4"/>
    <n v="40480"/>
    <x v="95"/>
    <x v="95"/>
  </r>
  <r>
    <s v="ORD0097"/>
    <s v="2024-08-13"/>
    <x v="2"/>
    <x v="2"/>
    <x v="1"/>
    <x v="1"/>
    <x v="1"/>
    <x v="1"/>
    <x v="0"/>
    <n v="84"/>
    <x v="3"/>
    <n v="4270"/>
    <x v="96"/>
    <x v="96"/>
  </r>
  <r>
    <s v="ORD0098"/>
    <s v="2024-05-01"/>
    <x v="4"/>
    <x v="2"/>
    <x v="1"/>
    <x v="3"/>
    <x v="3"/>
    <x v="1"/>
    <x v="1"/>
    <n v="85"/>
    <x v="15"/>
    <n v="40380"/>
    <x v="97"/>
    <x v="97"/>
  </r>
  <r>
    <s v="ORD0099"/>
    <s v="2024-12-11"/>
    <x v="0"/>
    <x v="2"/>
    <x v="1"/>
    <x v="3"/>
    <x v="3"/>
    <x v="1"/>
    <x v="0"/>
    <n v="60"/>
    <x v="18"/>
    <n v="56500"/>
    <x v="98"/>
    <x v="98"/>
  </r>
  <r>
    <s v="ORD0100"/>
    <s v="2024-07-29"/>
    <x v="4"/>
    <x v="1"/>
    <x v="1"/>
    <x v="3"/>
    <x v="3"/>
    <x v="1"/>
    <x v="1"/>
    <n v="43"/>
    <x v="4"/>
    <n v="32200"/>
    <x v="99"/>
    <x v="99"/>
  </r>
  <r>
    <s v="ORD0101"/>
    <s v="2024-12-06"/>
    <x v="5"/>
    <x v="0"/>
    <x v="2"/>
    <x v="2"/>
    <x v="2"/>
    <x v="2"/>
    <x v="1"/>
    <n v="43"/>
    <x v="19"/>
    <n v="3992"/>
    <x v="100"/>
    <x v="100"/>
  </r>
  <r>
    <s v="ORD0102"/>
    <s v="2024-03-21"/>
    <x v="1"/>
    <x v="2"/>
    <x v="2"/>
    <x v="4"/>
    <x v="4"/>
    <x v="2"/>
    <x v="3"/>
    <n v="24"/>
    <x v="2"/>
    <n v="1200"/>
    <x v="101"/>
    <x v="101"/>
  </r>
  <r>
    <s v="ORD0103"/>
    <s v="2024-10-23"/>
    <x v="5"/>
    <x v="1"/>
    <x v="1"/>
    <x v="1"/>
    <x v="1"/>
    <x v="1"/>
    <x v="2"/>
    <n v="24"/>
    <x v="11"/>
    <n v="1432"/>
    <x v="102"/>
    <x v="102"/>
  </r>
  <r>
    <s v="ORD0104"/>
    <s v="2024-05-28"/>
    <x v="5"/>
    <x v="3"/>
    <x v="1"/>
    <x v="3"/>
    <x v="3"/>
    <x v="1"/>
    <x v="2"/>
    <n v="28"/>
    <x v="16"/>
    <n v="46530"/>
    <x v="103"/>
    <x v="103"/>
  </r>
  <r>
    <s v="ORD0105"/>
    <s v="2024-05-22"/>
    <x v="2"/>
    <x v="3"/>
    <x v="0"/>
    <x v="0"/>
    <x v="0"/>
    <x v="0"/>
    <x v="3"/>
    <n v="25"/>
    <x v="19"/>
    <n v="10890"/>
    <x v="104"/>
    <x v="104"/>
  </r>
  <r>
    <s v="ORD0106"/>
    <s v="2024-04-29"/>
    <x v="0"/>
    <x v="1"/>
    <x v="1"/>
    <x v="3"/>
    <x v="3"/>
    <x v="1"/>
    <x v="3"/>
    <n v="66"/>
    <x v="1"/>
    <n v="31510"/>
    <x v="105"/>
    <x v="105"/>
  </r>
  <r>
    <s v="ORD0107"/>
    <s v="2024-04-01"/>
    <x v="3"/>
    <x v="3"/>
    <x v="0"/>
    <x v="0"/>
    <x v="0"/>
    <x v="0"/>
    <x v="0"/>
    <n v="19"/>
    <x v="0"/>
    <n v="41220"/>
    <x v="106"/>
    <x v="106"/>
  </r>
  <r>
    <s v="ORD0108"/>
    <s v="2024-06-12"/>
    <x v="0"/>
    <x v="0"/>
    <x v="2"/>
    <x v="2"/>
    <x v="2"/>
    <x v="2"/>
    <x v="2"/>
    <n v="49"/>
    <x v="10"/>
    <n v="1844"/>
    <x v="107"/>
    <x v="107"/>
  </r>
  <r>
    <s v="ORD0109"/>
    <s v="2024-07-14"/>
    <x v="2"/>
    <x v="3"/>
    <x v="2"/>
    <x v="4"/>
    <x v="4"/>
    <x v="2"/>
    <x v="2"/>
    <n v="39"/>
    <x v="6"/>
    <n v="1250"/>
    <x v="108"/>
    <x v="108"/>
  </r>
  <r>
    <s v="ORD0110"/>
    <s v="2024-07-10"/>
    <x v="2"/>
    <x v="1"/>
    <x v="1"/>
    <x v="3"/>
    <x v="3"/>
    <x v="1"/>
    <x v="4"/>
    <n v="55"/>
    <x v="8"/>
    <n v="18640"/>
    <x v="109"/>
    <x v="109"/>
  </r>
  <r>
    <s v="ORD0111"/>
    <s v="2024-02-11"/>
    <x v="0"/>
    <x v="1"/>
    <x v="1"/>
    <x v="3"/>
    <x v="3"/>
    <x v="1"/>
    <x v="1"/>
    <n v="98"/>
    <x v="18"/>
    <n v="36700"/>
    <x v="110"/>
    <x v="110"/>
  </r>
  <r>
    <s v="ORD0112"/>
    <s v="2024-08-22"/>
    <x v="4"/>
    <x v="3"/>
    <x v="1"/>
    <x v="1"/>
    <x v="1"/>
    <x v="1"/>
    <x v="3"/>
    <n v="14"/>
    <x v="11"/>
    <n v="2608"/>
    <x v="111"/>
    <x v="111"/>
  </r>
  <r>
    <s v="ORD0113"/>
    <s v="2024-01-15"/>
    <x v="4"/>
    <x v="3"/>
    <x v="0"/>
    <x v="6"/>
    <x v="6"/>
    <x v="0"/>
    <x v="0"/>
    <n v="60"/>
    <x v="15"/>
    <n v="75800"/>
    <x v="112"/>
    <x v="112"/>
  </r>
  <r>
    <s v="ORD0114"/>
    <s v="2024-08-11"/>
    <x v="4"/>
    <x v="0"/>
    <x v="2"/>
    <x v="2"/>
    <x v="2"/>
    <x v="2"/>
    <x v="1"/>
    <n v="39"/>
    <x v="9"/>
    <n v="3135"/>
    <x v="113"/>
    <x v="113"/>
  </r>
  <r>
    <s v="ORD0115"/>
    <s v="2024-11-24"/>
    <x v="3"/>
    <x v="0"/>
    <x v="2"/>
    <x v="4"/>
    <x v="4"/>
    <x v="4"/>
    <x v="3"/>
    <n v="27"/>
    <x v="11"/>
    <n v="4106"/>
    <x v="114"/>
    <x v="114"/>
  </r>
  <r>
    <s v="ORD0116"/>
    <s v="2024-05-11"/>
    <x v="2"/>
    <x v="0"/>
    <x v="2"/>
    <x v="2"/>
    <x v="2"/>
    <x v="2"/>
    <x v="4"/>
    <n v="66"/>
    <x v="7"/>
    <n v="2127"/>
    <x v="115"/>
    <x v="115"/>
  </r>
  <r>
    <s v="ORD0117"/>
    <s v="2024-02-10"/>
    <x v="4"/>
    <x v="0"/>
    <x v="0"/>
    <x v="0"/>
    <x v="0"/>
    <x v="3"/>
    <x v="2"/>
    <n v="11"/>
    <x v="6"/>
    <n v="25000"/>
    <x v="116"/>
    <x v="116"/>
  </r>
  <r>
    <s v="ORD0118"/>
    <s v="2024-05-04"/>
    <x v="1"/>
    <x v="1"/>
    <x v="0"/>
    <x v="6"/>
    <x v="6"/>
    <x v="0"/>
    <x v="4"/>
    <n v="88"/>
    <x v="3"/>
    <n v="147250"/>
    <x v="117"/>
    <x v="117"/>
  </r>
  <r>
    <s v="ORD0119"/>
    <s v="2024-03-20"/>
    <x v="3"/>
    <x v="1"/>
    <x v="2"/>
    <x v="4"/>
    <x v="4"/>
    <x v="2"/>
    <x v="3"/>
    <n v="41"/>
    <x v="7"/>
    <n v="2594"/>
    <x v="118"/>
    <x v="118"/>
  </r>
  <r>
    <s v="ORD0120"/>
    <s v="2024-05-16"/>
    <x v="3"/>
    <x v="2"/>
    <x v="1"/>
    <x v="1"/>
    <x v="1"/>
    <x v="1"/>
    <x v="4"/>
    <n v="55"/>
    <x v="19"/>
    <n v="1554"/>
    <x v="119"/>
    <x v="119"/>
  </r>
  <r>
    <s v="ORD0121"/>
    <s v="2024-05-03"/>
    <x v="1"/>
    <x v="2"/>
    <x v="2"/>
    <x v="2"/>
    <x v="2"/>
    <x v="2"/>
    <x v="4"/>
    <n v="64"/>
    <x v="0"/>
    <n v="1150"/>
    <x v="120"/>
    <x v="120"/>
  </r>
  <r>
    <s v="ORD0122"/>
    <s v="2024-11-28"/>
    <x v="2"/>
    <x v="2"/>
    <x v="0"/>
    <x v="6"/>
    <x v="6"/>
    <x v="0"/>
    <x v="1"/>
    <n v="97"/>
    <x v="8"/>
    <n v="98260"/>
    <x v="121"/>
    <x v="121"/>
  </r>
  <r>
    <s v="ORD0123"/>
    <s v="2024-11-05"/>
    <x v="3"/>
    <x v="0"/>
    <x v="2"/>
    <x v="2"/>
    <x v="2"/>
    <x v="2"/>
    <x v="3"/>
    <n v="8"/>
    <x v="19"/>
    <n v="2739"/>
    <x v="122"/>
    <x v="122"/>
  </r>
  <r>
    <s v="ORD0124"/>
    <s v="2024-07-30"/>
    <x v="1"/>
    <x v="1"/>
    <x v="2"/>
    <x v="2"/>
    <x v="2"/>
    <x v="2"/>
    <x v="2"/>
    <n v="14"/>
    <x v="1"/>
    <n v="650"/>
    <x v="123"/>
    <x v="123"/>
  </r>
  <r>
    <s v="ORD0125"/>
    <s v="2024-03-28"/>
    <x v="1"/>
    <x v="0"/>
    <x v="0"/>
    <x v="6"/>
    <x v="6"/>
    <x v="3"/>
    <x v="3"/>
    <n v="63"/>
    <x v="1"/>
    <n v="136230"/>
    <x v="124"/>
    <x v="124"/>
  </r>
  <r>
    <s v="ORD0126"/>
    <s v="2024-12-13"/>
    <x v="2"/>
    <x v="2"/>
    <x v="1"/>
    <x v="3"/>
    <x v="3"/>
    <x v="1"/>
    <x v="1"/>
    <n v="66"/>
    <x v="15"/>
    <n v="13040"/>
    <x v="125"/>
    <x v="125"/>
  </r>
  <r>
    <s v="ORD0127"/>
    <s v="2024-02-22"/>
    <x v="2"/>
    <x v="1"/>
    <x v="2"/>
    <x v="2"/>
    <x v="2"/>
    <x v="2"/>
    <x v="0"/>
    <n v="99"/>
    <x v="13"/>
    <n v="1524"/>
    <x v="126"/>
    <x v="126"/>
  </r>
  <r>
    <s v="ORD0128"/>
    <s v="2024-09-30"/>
    <x v="0"/>
    <x v="1"/>
    <x v="2"/>
    <x v="4"/>
    <x v="4"/>
    <x v="4"/>
    <x v="2"/>
    <n v="22"/>
    <x v="4"/>
    <n v="4417"/>
    <x v="127"/>
    <x v="127"/>
  </r>
  <r>
    <s v="ORD0129"/>
    <s v="2024-02-16"/>
    <x v="4"/>
    <x v="0"/>
    <x v="0"/>
    <x v="6"/>
    <x v="6"/>
    <x v="0"/>
    <x v="2"/>
    <n v="100"/>
    <x v="7"/>
    <n v="145260"/>
    <x v="128"/>
    <x v="128"/>
  </r>
  <r>
    <s v="ORD0130"/>
    <s v="2024-07-22"/>
    <x v="5"/>
    <x v="2"/>
    <x v="2"/>
    <x v="4"/>
    <x v="4"/>
    <x v="2"/>
    <x v="2"/>
    <n v="91"/>
    <x v="7"/>
    <n v="3109"/>
    <x v="129"/>
    <x v="129"/>
  </r>
  <r>
    <s v="ORD0131"/>
    <s v="2024-11-01"/>
    <x v="5"/>
    <x v="2"/>
    <x v="2"/>
    <x v="4"/>
    <x v="4"/>
    <x v="4"/>
    <x v="4"/>
    <n v="20"/>
    <x v="11"/>
    <n v="1150"/>
    <x v="130"/>
    <x v="130"/>
  </r>
  <r>
    <s v="ORD0132"/>
    <s v="2024-04-01"/>
    <x v="3"/>
    <x v="2"/>
    <x v="2"/>
    <x v="4"/>
    <x v="4"/>
    <x v="2"/>
    <x v="4"/>
    <n v="56"/>
    <x v="18"/>
    <n v="1350"/>
    <x v="131"/>
    <x v="131"/>
  </r>
  <r>
    <s v="ORD0133"/>
    <s v="2024-05-21"/>
    <x v="0"/>
    <x v="3"/>
    <x v="0"/>
    <x v="0"/>
    <x v="0"/>
    <x v="0"/>
    <x v="1"/>
    <n v="60"/>
    <x v="9"/>
    <n v="48300"/>
    <x v="132"/>
    <x v="132"/>
  </r>
  <r>
    <s v="ORD0134"/>
    <s v="2024-04-30"/>
    <x v="3"/>
    <x v="2"/>
    <x v="2"/>
    <x v="2"/>
    <x v="2"/>
    <x v="4"/>
    <x v="2"/>
    <n v="30"/>
    <x v="15"/>
    <n v="2097"/>
    <x v="133"/>
    <x v="133"/>
  </r>
  <r>
    <s v="ORD0135"/>
    <s v="2024-12-29"/>
    <x v="1"/>
    <x v="3"/>
    <x v="2"/>
    <x v="2"/>
    <x v="2"/>
    <x v="4"/>
    <x v="0"/>
    <n v="30"/>
    <x v="15"/>
    <n v="2720"/>
    <x v="134"/>
    <x v="134"/>
  </r>
  <r>
    <s v="ORD0136"/>
    <s v="2024-01-25"/>
    <x v="3"/>
    <x v="3"/>
    <x v="0"/>
    <x v="0"/>
    <x v="0"/>
    <x v="0"/>
    <x v="2"/>
    <n v="69"/>
    <x v="2"/>
    <n v="65470"/>
    <x v="135"/>
    <x v="135"/>
  </r>
  <r>
    <s v="ORD0137"/>
    <s v="2024-06-03"/>
    <x v="2"/>
    <x v="2"/>
    <x v="0"/>
    <x v="6"/>
    <x v="6"/>
    <x v="0"/>
    <x v="0"/>
    <n v="98"/>
    <x v="15"/>
    <n v="65200"/>
    <x v="82"/>
    <x v="82"/>
  </r>
  <r>
    <s v="ORD0138"/>
    <s v="2024-06-04"/>
    <x v="2"/>
    <x v="0"/>
    <x v="2"/>
    <x v="2"/>
    <x v="2"/>
    <x v="4"/>
    <x v="3"/>
    <n v="100"/>
    <x v="12"/>
    <n v="3265"/>
    <x v="136"/>
    <x v="136"/>
  </r>
  <r>
    <s v="ORD0139"/>
    <s v="2024-08-06"/>
    <x v="0"/>
    <x v="1"/>
    <x v="0"/>
    <x v="6"/>
    <x v="6"/>
    <x v="0"/>
    <x v="0"/>
    <n v="63"/>
    <x v="10"/>
    <n v="141260"/>
    <x v="137"/>
    <x v="137"/>
  </r>
  <r>
    <s v="ORD0140"/>
    <s v="2024-09-02"/>
    <x v="5"/>
    <x v="2"/>
    <x v="2"/>
    <x v="2"/>
    <x v="2"/>
    <x v="4"/>
    <x v="4"/>
    <n v="20"/>
    <x v="15"/>
    <n v="1761"/>
    <x v="138"/>
    <x v="138"/>
  </r>
  <r>
    <s v="ORD0141"/>
    <s v="2024-03-26"/>
    <x v="0"/>
    <x v="2"/>
    <x v="1"/>
    <x v="1"/>
    <x v="1"/>
    <x v="1"/>
    <x v="1"/>
    <n v="19"/>
    <x v="16"/>
    <n v="4536"/>
    <x v="139"/>
    <x v="139"/>
  </r>
  <r>
    <s v="ORD0142"/>
    <s v="2024-07-18"/>
    <x v="4"/>
    <x v="0"/>
    <x v="0"/>
    <x v="0"/>
    <x v="0"/>
    <x v="0"/>
    <x v="0"/>
    <n v="65"/>
    <x v="11"/>
    <n v="34920"/>
    <x v="140"/>
    <x v="140"/>
  </r>
  <r>
    <s v="ORD0143"/>
    <s v="2024-06-23"/>
    <x v="3"/>
    <x v="2"/>
    <x v="0"/>
    <x v="0"/>
    <x v="0"/>
    <x v="0"/>
    <x v="2"/>
    <n v="14"/>
    <x v="9"/>
    <n v="39450"/>
    <x v="141"/>
    <x v="141"/>
  </r>
  <r>
    <s v="ORD0144"/>
    <s v="2024-09-30"/>
    <x v="0"/>
    <x v="1"/>
    <x v="2"/>
    <x v="2"/>
    <x v="2"/>
    <x v="2"/>
    <x v="3"/>
    <n v="11"/>
    <x v="4"/>
    <n v="1888"/>
    <x v="142"/>
    <x v="142"/>
  </r>
  <r>
    <s v="ORD0145"/>
    <s v="2024-07-06"/>
    <x v="3"/>
    <x v="3"/>
    <x v="0"/>
    <x v="5"/>
    <x v="5"/>
    <x v="0"/>
    <x v="3"/>
    <n v="64"/>
    <x v="9"/>
    <n v="32830"/>
    <x v="143"/>
    <x v="143"/>
  </r>
  <r>
    <s v="ORD0146"/>
    <s v="2024-09-26"/>
    <x v="4"/>
    <x v="2"/>
    <x v="1"/>
    <x v="3"/>
    <x v="3"/>
    <x v="1"/>
    <x v="2"/>
    <n v="38"/>
    <x v="1"/>
    <n v="39700"/>
    <x v="144"/>
    <x v="144"/>
  </r>
  <r>
    <s v="ORD0147"/>
    <s v="2024-05-12"/>
    <x v="5"/>
    <x v="3"/>
    <x v="0"/>
    <x v="0"/>
    <x v="0"/>
    <x v="0"/>
    <x v="3"/>
    <n v="6"/>
    <x v="10"/>
    <n v="24580"/>
    <x v="145"/>
    <x v="145"/>
  </r>
  <r>
    <s v="ORD0148"/>
    <s v="2024-05-25"/>
    <x v="2"/>
    <x v="0"/>
    <x v="1"/>
    <x v="1"/>
    <x v="1"/>
    <x v="1"/>
    <x v="1"/>
    <n v="94"/>
    <x v="8"/>
    <n v="4767"/>
    <x v="146"/>
    <x v="146"/>
  </r>
  <r>
    <s v="ORD0149"/>
    <s v="2024-03-27"/>
    <x v="1"/>
    <x v="1"/>
    <x v="0"/>
    <x v="0"/>
    <x v="0"/>
    <x v="0"/>
    <x v="3"/>
    <n v="16"/>
    <x v="12"/>
    <n v="37290"/>
    <x v="147"/>
    <x v="147"/>
  </r>
  <r>
    <s v="ORD0150"/>
    <s v="2024-08-15"/>
    <x v="2"/>
    <x v="1"/>
    <x v="1"/>
    <x v="1"/>
    <x v="1"/>
    <x v="1"/>
    <x v="3"/>
    <n v="41"/>
    <x v="0"/>
    <n v="1712"/>
    <x v="148"/>
    <x v="148"/>
  </r>
  <r>
    <s v="ORD0151"/>
    <s v="2024-03-19"/>
    <x v="4"/>
    <x v="0"/>
    <x v="0"/>
    <x v="0"/>
    <x v="0"/>
    <x v="0"/>
    <x v="2"/>
    <n v="10"/>
    <x v="3"/>
    <n v="32270"/>
    <x v="149"/>
    <x v="149"/>
  </r>
  <r>
    <s v="ORD0152"/>
    <s v="2024-05-14"/>
    <x v="4"/>
    <x v="3"/>
    <x v="0"/>
    <x v="6"/>
    <x v="6"/>
    <x v="0"/>
    <x v="0"/>
    <n v="89"/>
    <x v="6"/>
    <n v="145800"/>
    <x v="150"/>
    <x v="150"/>
  </r>
  <r>
    <s v="ORD0153"/>
    <s v="2024-07-02"/>
    <x v="4"/>
    <x v="1"/>
    <x v="1"/>
    <x v="3"/>
    <x v="3"/>
    <x v="1"/>
    <x v="0"/>
    <n v="35"/>
    <x v="10"/>
    <n v="25660"/>
    <x v="151"/>
    <x v="151"/>
  </r>
  <r>
    <s v="ORD0154"/>
    <s v="2024-06-02"/>
    <x v="1"/>
    <x v="2"/>
    <x v="2"/>
    <x v="4"/>
    <x v="4"/>
    <x v="4"/>
    <x v="4"/>
    <n v="53"/>
    <x v="19"/>
    <n v="1450"/>
    <x v="152"/>
    <x v="152"/>
  </r>
  <r>
    <s v="ORD0155"/>
    <s v="2024-08-12"/>
    <x v="4"/>
    <x v="0"/>
    <x v="0"/>
    <x v="5"/>
    <x v="5"/>
    <x v="0"/>
    <x v="2"/>
    <n v="26"/>
    <x v="12"/>
    <n v="166000"/>
    <x v="153"/>
    <x v="153"/>
  </r>
  <r>
    <s v="ORD0156"/>
    <s v="2024-04-16"/>
    <x v="4"/>
    <x v="1"/>
    <x v="0"/>
    <x v="6"/>
    <x v="6"/>
    <x v="0"/>
    <x v="1"/>
    <n v="97"/>
    <x v="6"/>
    <n v="98700"/>
    <x v="154"/>
    <x v="154"/>
  </r>
  <r>
    <s v="ORD0157"/>
    <s v="2024-07-30"/>
    <x v="4"/>
    <x v="0"/>
    <x v="0"/>
    <x v="6"/>
    <x v="6"/>
    <x v="0"/>
    <x v="4"/>
    <n v="24"/>
    <x v="0"/>
    <n v="465000"/>
    <x v="155"/>
    <x v="155"/>
  </r>
  <r>
    <s v="ORD0158"/>
    <s v="2024-11-16"/>
    <x v="2"/>
    <x v="1"/>
    <x v="2"/>
    <x v="4"/>
    <x v="4"/>
    <x v="4"/>
    <x v="0"/>
    <n v="87"/>
    <x v="19"/>
    <n v="1500"/>
    <x v="156"/>
    <x v="156"/>
  </r>
  <r>
    <s v="ORD0159"/>
    <s v="2024-05-07"/>
    <x v="2"/>
    <x v="1"/>
    <x v="2"/>
    <x v="4"/>
    <x v="4"/>
    <x v="4"/>
    <x v="2"/>
    <n v="96"/>
    <x v="11"/>
    <n v="1550"/>
    <x v="157"/>
    <x v="157"/>
  </r>
  <r>
    <s v="ORD0160"/>
    <s v="2024-06-09"/>
    <x v="4"/>
    <x v="3"/>
    <x v="1"/>
    <x v="3"/>
    <x v="3"/>
    <x v="1"/>
    <x v="2"/>
    <n v="39"/>
    <x v="16"/>
    <n v="9910"/>
    <x v="158"/>
    <x v="158"/>
  </r>
  <r>
    <s v="ORD0161"/>
    <s v="2024-07-05"/>
    <x v="5"/>
    <x v="2"/>
    <x v="1"/>
    <x v="3"/>
    <x v="3"/>
    <x v="1"/>
    <x v="3"/>
    <n v="25"/>
    <x v="8"/>
    <n v="48000"/>
    <x v="159"/>
    <x v="159"/>
  </r>
  <r>
    <s v="ORD0162"/>
    <s v="2024-01-19"/>
    <x v="3"/>
    <x v="3"/>
    <x v="1"/>
    <x v="1"/>
    <x v="1"/>
    <x v="1"/>
    <x v="0"/>
    <n v="73"/>
    <x v="14"/>
    <n v="3590"/>
    <x v="160"/>
    <x v="160"/>
  </r>
  <r>
    <s v="ORD0163"/>
    <s v="2024-02-10"/>
    <x v="3"/>
    <x v="2"/>
    <x v="2"/>
    <x v="4"/>
    <x v="4"/>
    <x v="4"/>
    <x v="2"/>
    <n v="86"/>
    <x v="10"/>
    <n v="3598"/>
    <x v="161"/>
    <x v="161"/>
  </r>
  <r>
    <s v="ORD0164"/>
    <s v="2024-11-25"/>
    <x v="0"/>
    <x v="1"/>
    <x v="1"/>
    <x v="1"/>
    <x v="1"/>
    <x v="1"/>
    <x v="0"/>
    <n v="89"/>
    <x v="10"/>
    <n v="1277"/>
    <x v="162"/>
    <x v="162"/>
  </r>
  <r>
    <s v="ORD0165"/>
    <s v="2024-11-20"/>
    <x v="0"/>
    <x v="1"/>
    <x v="0"/>
    <x v="6"/>
    <x v="6"/>
    <x v="3"/>
    <x v="0"/>
    <n v="86"/>
    <x v="13"/>
    <n v="156580"/>
    <x v="163"/>
    <x v="163"/>
  </r>
  <r>
    <s v="ORD0166"/>
    <s v="2024-09-28"/>
    <x v="0"/>
    <x v="3"/>
    <x v="0"/>
    <x v="6"/>
    <x v="6"/>
    <x v="3"/>
    <x v="0"/>
    <n v="76"/>
    <x v="15"/>
    <n v="158440"/>
    <x v="164"/>
    <x v="164"/>
  </r>
  <r>
    <s v="ORD0167"/>
    <s v="2024-01-28"/>
    <x v="0"/>
    <x v="2"/>
    <x v="0"/>
    <x v="5"/>
    <x v="5"/>
    <x v="3"/>
    <x v="3"/>
    <n v="40"/>
    <x v="16"/>
    <n v="249200"/>
    <x v="165"/>
    <x v="165"/>
  </r>
  <r>
    <s v="ORD0168"/>
    <s v="2024-02-04"/>
    <x v="5"/>
    <x v="1"/>
    <x v="1"/>
    <x v="1"/>
    <x v="1"/>
    <x v="1"/>
    <x v="0"/>
    <n v="70"/>
    <x v="8"/>
    <n v="2640"/>
    <x v="166"/>
    <x v="166"/>
  </r>
  <r>
    <s v="ORD0169"/>
    <s v="2024-08-22"/>
    <x v="5"/>
    <x v="2"/>
    <x v="1"/>
    <x v="1"/>
    <x v="1"/>
    <x v="1"/>
    <x v="3"/>
    <n v="52"/>
    <x v="19"/>
    <n v="2959"/>
    <x v="167"/>
    <x v="167"/>
  </r>
  <r>
    <s v="ORD0170"/>
    <s v="2024-10-01"/>
    <x v="5"/>
    <x v="2"/>
    <x v="0"/>
    <x v="6"/>
    <x v="6"/>
    <x v="3"/>
    <x v="4"/>
    <n v="91"/>
    <x v="4"/>
    <n v="148370"/>
    <x v="168"/>
    <x v="168"/>
  </r>
  <r>
    <s v="ORD0171"/>
    <s v="2024-05-22"/>
    <x v="3"/>
    <x v="0"/>
    <x v="2"/>
    <x v="4"/>
    <x v="4"/>
    <x v="4"/>
    <x v="4"/>
    <n v="67"/>
    <x v="18"/>
    <n v="2461"/>
    <x v="169"/>
    <x v="169"/>
  </r>
  <r>
    <s v="ORD0172"/>
    <s v="2024-08-19"/>
    <x v="0"/>
    <x v="1"/>
    <x v="2"/>
    <x v="2"/>
    <x v="2"/>
    <x v="4"/>
    <x v="2"/>
    <n v="10"/>
    <x v="16"/>
    <n v="2253"/>
    <x v="170"/>
    <x v="170"/>
  </r>
  <r>
    <s v="ORD0173"/>
    <s v="2024-11-10"/>
    <x v="4"/>
    <x v="0"/>
    <x v="1"/>
    <x v="3"/>
    <x v="3"/>
    <x v="1"/>
    <x v="1"/>
    <n v="0"/>
    <x v="18"/>
    <n v="20170"/>
    <x v="171"/>
    <x v="171"/>
  </r>
  <r>
    <s v="ORD0174"/>
    <s v="2024-09-29"/>
    <x v="5"/>
    <x v="3"/>
    <x v="2"/>
    <x v="2"/>
    <x v="2"/>
    <x v="4"/>
    <x v="1"/>
    <n v="78"/>
    <x v="1"/>
    <n v="3149"/>
    <x v="172"/>
    <x v="172"/>
  </r>
  <r>
    <s v="ORD0175"/>
    <s v="2024-10-30"/>
    <x v="2"/>
    <x v="1"/>
    <x v="0"/>
    <x v="0"/>
    <x v="0"/>
    <x v="0"/>
    <x v="4"/>
    <n v="24"/>
    <x v="10"/>
    <n v="43960"/>
    <x v="173"/>
    <x v="173"/>
  </r>
  <r>
    <s v="ORD0176"/>
    <s v="2024-05-27"/>
    <x v="4"/>
    <x v="2"/>
    <x v="2"/>
    <x v="4"/>
    <x v="4"/>
    <x v="4"/>
    <x v="1"/>
    <n v="33"/>
    <x v="18"/>
    <n v="3428"/>
    <x v="174"/>
    <x v="174"/>
  </r>
  <r>
    <s v="ORD0177"/>
    <s v="2024-01-19"/>
    <x v="0"/>
    <x v="0"/>
    <x v="2"/>
    <x v="2"/>
    <x v="2"/>
    <x v="2"/>
    <x v="4"/>
    <n v="49"/>
    <x v="1"/>
    <n v="1278"/>
    <x v="175"/>
    <x v="175"/>
  </r>
  <r>
    <s v="ORD0178"/>
    <s v="2024-05-11"/>
    <x v="4"/>
    <x v="1"/>
    <x v="0"/>
    <x v="0"/>
    <x v="0"/>
    <x v="3"/>
    <x v="3"/>
    <n v="67"/>
    <x v="5"/>
    <n v="27470"/>
    <x v="176"/>
    <x v="176"/>
  </r>
  <r>
    <s v="ORD0179"/>
    <s v="2024-07-21"/>
    <x v="2"/>
    <x v="2"/>
    <x v="1"/>
    <x v="1"/>
    <x v="1"/>
    <x v="1"/>
    <x v="3"/>
    <n v="89"/>
    <x v="8"/>
    <n v="4715"/>
    <x v="177"/>
    <x v="177"/>
  </r>
  <r>
    <s v="ORD0180"/>
    <s v="2024-10-02"/>
    <x v="4"/>
    <x v="2"/>
    <x v="2"/>
    <x v="4"/>
    <x v="4"/>
    <x v="4"/>
    <x v="2"/>
    <n v="57"/>
    <x v="17"/>
    <n v="1125"/>
    <x v="178"/>
    <x v="178"/>
  </r>
  <r>
    <s v="ORD0181"/>
    <s v="2024-03-20"/>
    <x v="4"/>
    <x v="2"/>
    <x v="0"/>
    <x v="6"/>
    <x v="6"/>
    <x v="3"/>
    <x v="2"/>
    <n v="55"/>
    <x v="4"/>
    <n v="155550"/>
    <x v="179"/>
    <x v="179"/>
  </r>
  <r>
    <s v="ORD0182"/>
    <s v="2024-11-26"/>
    <x v="3"/>
    <x v="3"/>
    <x v="0"/>
    <x v="5"/>
    <x v="5"/>
    <x v="3"/>
    <x v="4"/>
    <n v="48"/>
    <x v="19"/>
    <n v="25370"/>
    <x v="180"/>
    <x v="180"/>
  </r>
  <r>
    <s v="ORD0183"/>
    <s v="2024-01-18"/>
    <x v="4"/>
    <x v="3"/>
    <x v="1"/>
    <x v="3"/>
    <x v="3"/>
    <x v="1"/>
    <x v="4"/>
    <n v="0"/>
    <x v="1"/>
    <n v="27780"/>
    <x v="181"/>
    <x v="181"/>
  </r>
  <r>
    <s v="ORD0184"/>
    <s v="2024-12-18"/>
    <x v="2"/>
    <x v="1"/>
    <x v="0"/>
    <x v="6"/>
    <x v="6"/>
    <x v="3"/>
    <x v="4"/>
    <n v="84"/>
    <x v="15"/>
    <n v="66660"/>
    <x v="182"/>
    <x v="182"/>
  </r>
  <r>
    <s v="ORD0185"/>
    <s v="2024-11-27"/>
    <x v="4"/>
    <x v="1"/>
    <x v="0"/>
    <x v="5"/>
    <x v="5"/>
    <x v="3"/>
    <x v="1"/>
    <n v="82"/>
    <x v="3"/>
    <n v="38600"/>
    <x v="183"/>
    <x v="183"/>
  </r>
  <r>
    <s v="ORD0186"/>
    <s v="2024-10-06"/>
    <x v="5"/>
    <x v="1"/>
    <x v="0"/>
    <x v="0"/>
    <x v="0"/>
    <x v="3"/>
    <x v="0"/>
    <n v="72"/>
    <x v="6"/>
    <n v="40750"/>
    <x v="184"/>
    <x v="184"/>
  </r>
  <r>
    <s v="ORD0187"/>
    <s v="2024-03-16"/>
    <x v="5"/>
    <x v="1"/>
    <x v="0"/>
    <x v="6"/>
    <x v="6"/>
    <x v="3"/>
    <x v="2"/>
    <n v="0"/>
    <x v="4"/>
    <n v="148110"/>
    <x v="185"/>
    <x v="185"/>
  </r>
  <r>
    <s v="ORD0188"/>
    <s v="2024-11-29"/>
    <x v="5"/>
    <x v="1"/>
    <x v="1"/>
    <x v="3"/>
    <x v="3"/>
    <x v="1"/>
    <x v="2"/>
    <n v="10"/>
    <x v="7"/>
    <n v="27830"/>
    <x v="186"/>
    <x v="186"/>
  </r>
  <r>
    <s v="ORD0189"/>
    <s v="2024-10-26"/>
    <x v="5"/>
    <x v="3"/>
    <x v="1"/>
    <x v="1"/>
    <x v="1"/>
    <x v="1"/>
    <x v="1"/>
    <n v="95"/>
    <x v="0"/>
    <n v="4826"/>
    <x v="187"/>
    <x v="187"/>
  </r>
  <r>
    <s v="ORD0190"/>
    <s v="2024-10-31"/>
    <x v="4"/>
    <x v="0"/>
    <x v="1"/>
    <x v="1"/>
    <x v="1"/>
    <x v="1"/>
    <x v="3"/>
    <n v="45"/>
    <x v="3"/>
    <n v="1200"/>
    <x v="188"/>
    <x v="188"/>
  </r>
  <r>
    <s v="ORD0191"/>
    <s v="2024-05-09"/>
    <x v="1"/>
    <x v="0"/>
    <x v="2"/>
    <x v="2"/>
    <x v="2"/>
    <x v="4"/>
    <x v="4"/>
    <n v="66"/>
    <x v="0"/>
    <n v="545"/>
    <x v="189"/>
    <x v="189"/>
  </r>
  <r>
    <s v="ORD0192"/>
    <s v="2024-03-12"/>
    <x v="2"/>
    <x v="2"/>
    <x v="2"/>
    <x v="4"/>
    <x v="4"/>
    <x v="4"/>
    <x v="2"/>
    <n v="13"/>
    <x v="7"/>
    <n v="1135"/>
    <x v="190"/>
    <x v="190"/>
  </r>
  <r>
    <s v="ORD0193"/>
    <s v="2024-02-04"/>
    <x v="3"/>
    <x v="0"/>
    <x v="1"/>
    <x v="3"/>
    <x v="3"/>
    <x v="1"/>
    <x v="0"/>
    <n v="67"/>
    <x v="0"/>
    <n v="10290"/>
    <x v="191"/>
    <x v="191"/>
  </r>
  <r>
    <s v="ORD0194"/>
    <s v="2024-03-07"/>
    <x v="2"/>
    <x v="1"/>
    <x v="0"/>
    <x v="5"/>
    <x v="5"/>
    <x v="3"/>
    <x v="4"/>
    <n v="66"/>
    <x v="5"/>
    <n v="26600"/>
    <x v="192"/>
    <x v="192"/>
  </r>
  <r>
    <s v="ORD0195"/>
    <s v="2024-10-24"/>
    <x v="4"/>
    <x v="2"/>
    <x v="0"/>
    <x v="6"/>
    <x v="6"/>
    <x v="0"/>
    <x v="2"/>
    <n v="36"/>
    <x v="9"/>
    <n v="142450"/>
    <x v="193"/>
    <x v="193"/>
  </r>
  <r>
    <s v="ORD0196"/>
    <s v="2024-06-17"/>
    <x v="3"/>
    <x v="1"/>
    <x v="0"/>
    <x v="0"/>
    <x v="0"/>
    <x v="3"/>
    <x v="2"/>
    <n v="90"/>
    <x v="16"/>
    <n v="58960"/>
    <x v="194"/>
    <x v="194"/>
  </r>
  <r>
    <s v="ORD0197"/>
    <s v="2024-08-29"/>
    <x v="5"/>
    <x v="3"/>
    <x v="2"/>
    <x v="4"/>
    <x v="4"/>
    <x v="4"/>
    <x v="3"/>
    <n v="64"/>
    <x v="14"/>
    <n v="3502"/>
    <x v="195"/>
    <x v="195"/>
  </r>
  <r>
    <s v="ORD0198"/>
    <s v="2024-08-30"/>
    <x v="4"/>
    <x v="3"/>
    <x v="0"/>
    <x v="0"/>
    <x v="0"/>
    <x v="0"/>
    <x v="0"/>
    <n v="60"/>
    <x v="19"/>
    <n v="40290"/>
    <x v="196"/>
    <x v="196"/>
  </r>
  <r>
    <s v="ORD0199"/>
    <s v="2024-09-25"/>
    <x v="3"/>
    <x v="2"/>
    <x v="0"/>
    <x v="0"/>
    <x v="0"/>
    <x v="0"/>
    <x v="4"/>
    <n v="17"/>
    <x v="8"/>
    <n v="654440"/>
    <x v="197"/>
    <x v="197"/>
  </r>
  <r>
    <s v="ORD0200"/>
    <s v="2024-08-30"/>
    <x v="5"/>
    <x v="2"/>
    <x v="0"/>
    <x v="5"/>
    <x v="5"/>
    <x v="3"/>
    <x v="2"/>
    <n v="99"/>
    <x v="0"/>
    <n v="166200"/>
    <x v="198"/>
    <x v="198"/>
  </r>
  <r>
    <s v="ORD0201"/>
    <s v="2024-02-17"/>
    <x v="3"/>
    <x v="2"/>
    <x v="1"/>
    <x v="1"/>
    <x v="1"/>
    <x v="1"/>
    <x v="3"/>
    <n v="50"/>
    <x v="15"/>
    <n v="4583"/>
    <x v="199"/>
    <x v="199"/>
  </r>
  <r>
    <s v="ORD0202"/>
    <s v="2024-07-09"/>
    <x v="0"/>
    <x v="2"/>
    <x v="2"/>
    <x v="2"/>
    <x v="2"/>
    <x v="4"/>
    <x v="2"/>
    <n v="33"/>
    <x v="18"/>
    <n v="3819"/>
    <x v="200"/>
    <x v="200"/>
  </r>
  <r>
    <s v="ORD0203"/>
    <s v="2024-12-26"/>
    <x v="4"/>
    <x v="2"/>
    <x v="0"/>
    <x v="0"/>
    <x v="0"/>
    <x v="3"/>
    <x v="3"/>
    <n v="51"/>
    <x v="18"/>
    <n v="36400"/>
    <x v="201"/>
    <x v="201"/>
  </r>
  <r>
    <s v="ORD0204"/>
    <s v="2024-05-06"/>
    <x v="0"/>
    <x v="1"/>
    <x v="1"/>
    <x v="1"/>
    <x v="1"/>
    <x v="1"/>
    <x v="3"/>
    <n v="35"/>
    <x v="7"/>
    <n v="4691"/>
    <x v="202"/>
    <x v="202"/>
  </r>
  <r>
    <s v="ORD0205"/>
    <s v="2024-07-16"/>
    <x v="3"/>
    <x v="1"/>
    <x v="0"/>
    <x v="5"/>
    <x v="5"/>
    <x v="3"/>
    <x v="3"/>
    <n v="25"/>
    <x v="18"/>
    <n v="137200"/>
    <x v="203"/>
    <x v="203"/>
  </r>
  <r>
    <s v="ORD0206"/>
    <s v="2024-08-02"/>
    <x v="3"/>
    <x v="0"/>
    <x v="0"/>
    <x v="0"/>
    <x v="0"/>
    <x v="3"/>
    <x v="3"/>
    <n v="42"/>
    <x v="11"/>
    <n v="45300"/>
    <x v="204"/>
    <x v="204"/>
  </r>
  <r>
    <s v="ORD0207"/>
    <s v="2024-02-08"/>
    <x v="1"/>
    <x v="2"/>
    <x v="0"/>
    <x v="0"/>
    <x v="0"/>
    <x v="3"/>
    <x v="1"/>
    <n v="6"/>
    <x v="18"/>
    <n v="30520"/>
    <x v="205"/>
    <x v="205"/>
  </r>
  <r>
    <s v="ORD0208"/>
    <s v="2024-01-09"/>
    <x v="5"/>
    <x v="3"/>
    <x v="0"/>
    <x v="5"/>
    <x v="5"/>
    <x v="3"/>
    <x v="0"/>
    <n v="78"/>
    <x v="18"/>
    <n v="28900"/>
    <x v="206"/>
    <x v="206"/>
  </r>
  <r>
    <s v="ORD0209"/>
    <s v="2024-12-16"/>
    <x v="5"/>
    <x v="1"/>
    <x v="1"/>
    <x v="1"/>
    <x v="1"/>
    <x v="1"/>
    <x v="1"/>
    <n v="75"/>
    <x v="11"/>
    <n v="1219"/>
    <x v="207"/>
    <x v="207"/>
  </r>
  <r>
    <s v="ORD0210"/>
    <s v="2024-11-07"/>
    <x v="3"/>
    <x v="1"/>
    <x v="0"/>
    <x v="6"/>
    <x v="6"/>
    <x v="3"/>
    <x v="3"/>
    <n v="59"/>
    <x v="1"/>
    <n v="359700"/>
    <x v="208"/>
    <x v="208"/>
  </r>
  <r>
    <s v="ORD0211"/>
    <s v="2024-04-14"/>
    <x v="4"/>
    <x v="3"/>
    <x v="2"/>
    <x v="4"/>
    <x v="4"/>
    <x v="2"/>
    <x v="4"/>
    <n v="3"/>
    <x v="9"/>
    <n v="4670"/>
    <x v="209"/>
    <x v="209"/>
  </r>
  <r>
    <s v="ORD0212"/>
    <s v="2024-01-12"/>
    <x v="1"/>
    <x v="3"/>
    <x v="1"/>
    <x v="3"/>
    <x v="3"/>
    <x v="1"/>
    <x v="0"/>
    <n v="44"/>
    <x v="16"/>
    <n v="14990"/>
    <x v="210"/>
    <x v="210"/>
  </r>
  <r>
    <s v="ORD0213"/>
    <s v="2024-08-24"/>
    <x v="5"/>
    <x v="2"/>
    <x v="2"/>
    <x v="2"/>
    <x v="2"/>
    <x v="4"/>
    <x v="2"/>
    <n v="75"/>
    <x v="2"/>
    <n v="1370"/>
    <x v="211"/>
    <x v="211"/>
  </r>
  <r>
    <s v="ORD0214"/>
    <s v="2024-02-15"/>
    <x v="4"/>
    <x v="0"/>
    <x v="0"/>
    <x v="0"/>
    <x v="0"/>
    <x v="3"/>
    <x v="4"/>
    <n v="53"/>
    <x v="9"/>
    <n v="41870"/>
    <x v="212"/>
    <x v="212"/>
  </r>
  <r>
    <s v="ORD0215"/>
    <s v="2024-06-12"/>
    <x v="0"/>
    <x v="2"/>
    <x v="1"/>
    <x v="1"/>
    <x v="1"/>
    <x v="1"/>
    <x v="0"/>
    <n v="22"/>
    <x v="14"/>
    <n v="1166"/>
    <x v="213"/>
    <x v="213"/>
  </r>
  <r>
    <s v="ORD0216"/>
    <s v="2024-05-02"/>
    <x v="2"/>
    <x v="0"/>
    <x v="0"/>
    <x v="6"/>
    <x v="6"/>
    <x v="3"/>
    <x v="0"/>
    <n v="74"/>
    <x v="7"/>
    <n v="144440"/>
    <x v="214"/>
    <x v="214"/>
  </r>
  <r>
    <s v="ORD0217"/>
    <s v="2024-09-13"/>
    <x v="0"/>
    <x v="1"/>
    <x v="1"/>
    <x v="1"/>
    <x v="1"/>
    <x v="1"/>
    <x v="2"/>
    <n v="60"/>
    <x v="15"/>
    <n v="985"/>
    <x v="215"/>
    <x v="215"/>
  </r>
  <r>
    <s v="ORD0218"/>
    <s v="2024-03-26"/>
    <x v="3"/>
    <x v="2"/>
    <x v="0"/>
    <x v="0"/>
    <x v="0"/>
    <x v="3"/>
    <x v="4"/>
    <n v="7"/>
    <x v="15"/>
    <n v="36620"/>
    <x v="216"/>
    <x v="216"/>
  </r>
  <r>
    <s v="ORD0219"/>
    <s v="2024-04-18"/>
    <x v="5"/>
    <x v="3"/>
    <x v="2"/>
    <x v="2"/>
    <x v="2"/>
    <x v="4"/>
    <x v="2"/>
    <n v="15"/>
    <x v="8"/>
    <n v="535"/>
    <x v="217"/>
    <x v="217"/>
  </r>
  <r>
    <s v="ORD0220"/>
    <s v="2024-09-07"/>
    <x v="1"/>
    <x v="1"/>
    <x v="1"/>
    <x v="3"/>
    <x v="3"/>
    <x v="1"/>
    <x v="0"/>
    <n v="22"/>
    <x v="5"/>
    <n v="15190"/>
    <x v="218"/>
    <x v="218"/>
  </r>
  <r>
    <s v="ORD0221"/>
    <s v="2024-02-10"/>
    <x v="4"/>
    <x v="0"/>
    <x v="0"/>
    <x v="0"/>
    <x v="0"/>
    <x v="3"/>
    <x v="3"/>
    <n v="21"/>
    <x v="19"/>
    <n v="37540"/>
    <x v="219"/>
    <x v="219"/>
  </r>
  <r>
    <s v="ORD0222"/>
    <s v="2024-01-30"/>
    <x v="1"/>
    <x v="3"/>
    <x v="0"/>
    <x v="0"/>
    <x v="0"/>
    <x v="3"/>
    <x v="3"/>
    <n v="45"/>
    <x v="0"/>
    <n v="21540"/>
    <x v="220"/>
    <x v="220"/>
  </r>
  <r>
    <s v="ORD0223"/>
    <s v="2024-10-04"/>
    <x v="0"/>
    <x v="1"/>
    <x v="0"/>
    <x v="0"/>
    <x v="0"/>
    <x v="0"/>
    <x v="1"/>
    <n v="25"/>
    <x v="14"/>
    <n v="44870"/>
    <x v="221"/>
    <x v="221"/>
  </r>
  <r>
    <s v="ORD0224"/>
    <s v="2024-07-17"/>
    <x v="3"/>
    <x v="1"/>
    <x v="1"/>
    <x v="3"/>
    <x v="3"/>
    <x v="1"/>
    <x v="0"/>
    <n v="76"/>
    <x v="17"/>
    <n v="35270"/>
    <x v="222"/>
    <x v="222"/>
  </r>
  <r>
    <s v="ORD0225"/>
    <s v="2024-02-12"/>
    <x v="5"/>
    <x v="3"/>
    <x v="1"/>
    <x v="1"/>
    <x v="1"/>
    <x v="1"/>
    <x v="3"/>
    <n v="53"/>
    <x v="14"/>
    <n v="3011"/>
    <x v="223"/>
    <x v="223"/>
  </r>
  <r>
    <s v="ORD0226"/>
    <s v="2024-02-22"/>
    <x v="0"/>
    <x v="0"/>
    <x v="0"/>
    <x v="6"/>
    <x v="6"/>
    <x v="3"/>
    <x v="1"/>
    <n v="61"/>
    <x v="6"/>
    <n v="144540"/>
    <x v="224"/>
    <x v="224"/>
  </r>
  <r>
    <s v="ORD0227"/>
    <s v="2024-04-16"/>
    <x v="4"/>
    <x v="3"/>
    <x v="1"/>
    <x v="1"/>
    <x v="1"/>
    <x v="1"/>
    <x v="3"/>
    <n v="50"/>
    <x v="19"/>
    <n v="2083"/>
    <x v="225"/>
    <x v="225"/>
  </r>
  <r>
    <s v="ORD0228"/>
    <s v="2024-12-08"/>
    <x v="5"/>
    <x v="1"/>
    <x v="0"/>
    <x v="0"/>
    <x v="0"/>
    <x v="3"/>
    <x v="3"/>
    <n v="10"/>
    <x v="1"/>
    <n v="56666"/>
    <x v="226"/>
    <x v="226"/>
  </r>
  <r>
    <s v="ORD0229"/>
    <s v="2024-04-25"/>
    <x v="0"/>
    <x v="2"/>
    <x v="1"/>
    <x v="3"/>
    <x v="3"/>
    <x v="1"/>
    <x v="0"/>
    <n v="43"/>
    <x v="9"/>
    <n v="11290"/>
    <x v="227"/>
    <x v="227"/>
  </r>
  <r>
    <s v="ORD0230"/>
    <s v="2024-07-23"/>
    <x v="0"/>
    <x v="0"/>
    <x v="0"/>
    <x v="6"/>
    <x v="6"/>
    <x v="0"/>
    <x v="2"/>
    <n v="39"/>
    <x v="4"/>
    <n v="139480"/>
    <x v="228"/>
    <x v="228"/>
  </r>
  <r>
    <s v="ORD0231"/>
    <s v="2024-05-14"/>
    <x v="0"/>
    <x v="2"/>
    <x v="2"/>
    <x v="2"/>
    <x v="2"/>
    <x v="4"/>
    <x v="4"/>
    <n v="0"/>
    <x v="13"/>
    <n v="858"/>
    <x v="229"/>
    <x v="229"/>
  </r>
  <r>
    <s v="ORD0232"/>
    <s v="2024-03-04"/>
    <x v="4"/>
    <x v="3"/>
    <x v="2"/>
    <x v="2"/>
    <x v="2"/>
    <x v="4"/>
    <x v="4"/>
    <n v="91"/>
    <x v="7"/>
    <n v="3706"/>
    <x v="230"/>
    <x v="230"/>
  </r>
  <r>
    <s v="ORD0233"/>
    <s v="2024-12-20"/>
    <x v="2"/>
    <x v="0"/>
    <x v="0"/>
    <x v="5"/>
    <x v="5"/>
    <x v="3"/>
    <x v="2"/>
    <n v="65"/>
    <x v="0"/>
    <n v="34170"/>
    <x v="231"/>
    <x v="231"/>
  </r>
  <r>
    <s v="ORD0234"/>
    <s v="2024-05-21"/>
    <x v="4"/>
    <x v="2"/>
    <x v="0"/>
    <x v="0"/>
    <x v="0"/>
    <x v="3"/>
    <x v="3"/>
    <n v="3"/>
    <x v="13"/>
    <n v="78950"/>
    <x v="232"/>
    <x v="232"/>
  </r>
  <r>
    <s v="ORD0235"/>
    <s v="2024-03-19"/>
    <x v="0"/>
    <x v="3"/>
    <x v="2"/>
    <x v="2"/>
    <x v="2"/>
    <x v="4"/>
    <x v="0"/>
    <n v="33"/>
    <x v="3"/>
    <n v="4337"/>
    <x v="233"/>
    <x v="233"/>
  </r>
  <r>
    <s v="ORD0236"/>
    <s v="2024-09-03"/>
    <x v="4"/>
    <x v="2"/>
    <x v="1"/>
    <x v="3"/>
    <x v="3"/>
    <x v="1"/>
    <x v="1"/>
    <n v="40"/>
    <x v="9"/>
    <n v="32140"/>
    <x v="234"/>
    <x v="234"/>
  </r>
  <r>
    <s v="ORD0237"/>
    <s v="2024-07-31"/>
    <x v="0"/>
    <x v="0"/>
    <x v="2"/>
    <x v="4"/>
    <x v="4"/>
    <x v="4"/>
    <x v="2"/>
    <n v="89"/>
    <x v="10"/>
    <n v="4289"/>
    <x v="235"/>
    <x v="235"/>
  </r>
  <r>
    <s v="ORD0238"/>
    <s v="2024-02-15"/>
    <x v="1"/>
    <x v="1"/>
    <x v="1"/>
    <x v="3"/>
    <x v="3"/>
    <x v="1"/>
    <x v="3"/>
    <n v="20"/>
    <x v="11"/>
    <n v="36200"/>
    <x v="236"/>
    <x v="236"/>
  </r>
  <r>
    <s v="ORD0239"/>
    <s v="2024-08-20"/>
    <x v="3"/>
    <x v="2"/>
    <x v="0"/>
    <x v="5"/>
    <x v="5"/>
    <x v="0"/>
    <x v="2"/>
    <n v="8"/>
    <x v="2"/>
    <n v="28300"/>
    <x v="237"/>
    <x v="237"/>
  </r>
  <r>
    <s v="ORD0240"/>
    <s v="2024-03-25"/>
    <x v="0"/>
    <x v="1"/>
    <x v="2"/>
    <x v="4"/>
    <x v="4"/>
    <x v="4"/>
    <x v="3"/>
    <n v="30"/>
    <x v="19"/>
    <n v="2655"/>
    <x v="238"/>
    <x v="238"/>
  </r>
  <r>
    <s v="ORD0241"/>
    <s v="2024-09-11"/>
    <x v="5"/>
    <x v="3"/>
    <x v="2"/>
    <x v="2"/>
    <x v="2"/>
    <x v="4"/>
    <x v="3"/>
    <n v="6"/>
    <x v="4"/>
    <n v="3931"/>
    <x v="239"/>
    <x v="239"/>
  </r>
  <r>
    <s v="ORD0242"/>
    <s v="2024-01-16"/>
    <x v="4"/>
    <x v="1"/>
    <x v="0"/>
    <x v="0"/>
    <x v="0"/>
    <x v="0"/>
    <x v="4"/>
    <n v="67"/>
    <x v="19"/>
    <n v="38210"/>
    <x v="240"/>
    <x v="240"/>
  </r>
  <r>
    <s v="ORD0243"/>
    <s v="2024-04-25"/>
    <x v="2"/>
    <x v="3"/>
    <x v="2"/>
    <x v="4"/>
    <x v="4"/>
    <x v="2"/>
    <x v="0"/>
    <n v="45"/>
    <x v="3"/>
    <n v="1861"/>
    <x v="241"/>
    <x v="241"/>
  </r>
  <r>
    <s v="ORD0244"/>
    <s v="2024-08-23"/>
    <x v="5"/>
    <x v="0"/>
    <x v="0"/>
    <x v="6"/>
    <x v="6"/>
    <x v="0"/>
    <x v="2"/>
    <n v="40"/>
    <x v="15"/>
    <n v="138000"/>
    <x v="242"/>
    <x v="242"/>
  </r>
  <r>
    <s v="ORD0245"/>
    <s v="2024-07-15"/>
    <x v="1"/>
    <x v="2"/>
    <x v="2"/>
    <x v="2"/>
    <x v="2"/>
    <x v="4"/>
    <x v="4"/>
    <n v="38"/>
    <x v="11"/>
    <n v="1558"/>
    <x v="243"/>
    <x v="243"/>
  </r>
  <r>
    <s v="ORD0246"/>
    <s v="2024-11-17"/>
    <x v="4"/>
    <x v="0"/>
    <x v="0"/>
    <x v="0"/>
    <x v="0"/>
    <x v="0"/>
    <x v="2"/>
    <n v="55"/>
    <x v="4"/>
    <n v="65555"/>
    <x v="244"/>
    <x v="244"/>
  </r>
  <r>
    <s v="ORD0247"/>
    <s v="2024-07-11"/>
    <x v="1"/>
    <x v="1"/>
    <x v="2"/>
    <x v="2"/>
    <x v="2"/>
    <x v="4"/>
    <x v="2"/>
    <n v="62"/>
    <x v="16"/>
    <n v="665"/>
    <x v="245"/>
    <x v="245"/>
  </r>
  <r>
    <s v="ORD0248"/>
    <s v="2024-08-23"/>
    <x v="1"/>
    <x v="2"/>
    <x v="2"/>
    <x v="2"/>
    <x v="2"/>
    <x v="4"/>
    <x v="1"/>
    <n v="27"/>
    <x v="3"/>
    <n v="4603"/>
    <x v="246"/>
    <x v="246"/>
  </r>
  <r>
    <s v="ORD0249"/>
    <s v="2024-04-06"/>
    <x v="4"/>
    <x v="2"/>
    <x v="0"/>
    <x v="5"/>
    <x v="5"/>
    <x v="3"/>
    <x v="4"/>
    <n v="73"/>
    <x v="4"/>
    <n v="147400"/>
    <x v="247"/>
    <x v="247"/>
  </r>
  <r>
    <s v="ORD0250"/>
    <s v="2024-03-12"/>
    <x v="1"/>
    <x v="2"/>
    <x v="0"/>
    <x v="0"/>
    <x v="0"/>
    <x v="3"/>
    <x v="2"/>
    <n v="57"/>
    <x v="17"/>
    <n v="77770"/>
    <x v="248"/>
    <x v="248"/>
  </r>
  <r>
    <s v="ORD0251"/>
    <s v="2024-12-29"/>
    <x v="2"/>
    <x v="0"/>
    <x v="0"/>
    <x v="5"/>
    <x v="5"/>
    <x v="0"/>
    <x v="2"/>
    <n v="44"/>
    <x v="14"/>
    <n v="99700"/>
    <x v="249"/>
    <x v="249"/>
  </r>
  <r>
    <s v="ORD0252"/>
    <s v="2024-09-26"/>
    <x v="2"/>
    <x v="0"/>
    <x v="1"/>
    <x v="3"/>
    <x v="3"/>
    <x v="1"/>
    <x v="2"/>
    <n v="16"/>
    <x v="2"/>
    <n v="14530"/>
    <x v="250"/>
    <x v="250"/>
  </r>
  <r>
    <s v="ORD0253"/>
    <s v="2024-10-17"/>
    <x v="4"/>
    <x v="2"/>
    <x v="0"/>
    <x v="5"/>
    <x v="5"/>
    <x v="0"/>
    <x v="1"/>
    <n v="80"/>
    <x v="17"/>
    <n v="38970"/>
    <x v="251"/>
    <x v="251"/>
  </r>
  <r>
    <s v="ORD0254"/>
    <s v="2024-01-05"/>
    <x v="1"/>
    <x v="0"/>
    <x v="1"/>
    <x v="1"/>
    <x v="1"/>
    <x v="1"/>
    <x v="2"/>
    <n v="37"/>
    <x v="19"/>
    <n v="4095"/>
    <x v="252"/>
    <x v="252"/>
  </r>
  <r>
    <s v="ORD0255"/>
    <s v="2024-08-12"/>
    <x v="3"/>
    <x v="2"/>
    <x v="0"/>
    <x v="0"/>
    <x v="0"/>
    <x v="0"/>
    <x v="0"/>
    <n v="88"/>
    <x v="4"/>
    <n v="88880"/>
    <x v="253"/>
    <x v="253"/>
  </r>
  <r>
    <s v="ORD0256"/>
    <s v="2024-07-22"/>
    <x v="3"/>
    <x v="0"/>
    <x v="2"/>
    <x v="2"/>
    <x v="2"/>
    <x v="4"/>
    <x v="1"/>
    <n v="82"/>
    <x v="16"/>
    <n v="4043"/>
    <x v="254"/>
    <x v="254"/>
  </r>
  <r>
    <s v="ORD0257"/>
    <s v="2024-12-22"/>
    <x v="3"/>
    <x v="2"/>
    <x v="1"/>
    <x v="1"/>
    <x v="1"/>
    <x v="1"/>
    <x v="3"/>
    <n v="44"/>
    <x v="9"/>
    <n v="2424"/>
    <x v="255"/>
    <x v="255"/>
  </r>
  <r>
    <s v="ORD0258"/>
    <s v="2024-03-19"/>
    <x v="5"/>
    <x v="1"/>
    <x v="2"/>
    <x v="4"/>
    <x v="4"/>
    <x v="2"/>
    <x v="4"/>
    <n v="89"/>
    <x v="13"/>
    <n v="1659"/>
    <x v="256"/>
    <x v="256"/>
  </r>
  <r>
    <s v="ORD0259"/>
    <s v="2024-10-25"/>
    <x v="0"/>
    <x v="0"/>
    <x v="1"/>
    <x v="1"/>
    <x v="1"/>
    <x v="1"/>
    <x v="3"/>
    <n v="58"/>
    <x v="5"/>
    <n v="2991"/>
    <x v="257"/>
    <x v="257"/>
  </r>
  <r>
    <s v="ORD0260"/>
    <s v="2024-04-04"/>
    <x v="5"/>
    <x v="1"/>
    <x v="0"/>
    <x v="5"/>
    <x v="5"/>
    <x v="0"/>
    <x v="4"/>
    <n v="88"/>
    <x v="0"/>
    <n v="162500"/>
    <x v="258"/>
    <x v="258"/>
  </r>
  <r>
    <s v="ORD0261"/>
    <s v="2024-02-15"/>
    <x v="4"/>
    <x v="3"/>
    <x v="0"/>
    <x v="6"/>
    <x v="6"/>
    <x v="0"/>
    <x v="3"/>
    <n v="85"/>
    <x v="15"/>
    <n v="85200"/>
    <x v="259"/>
    <x v="259"/>
  </r>
  <r>
    <s v="ORD0262"/>
    <s v="2024-11-11"/>
    <x v="1"/>
    <x v="0"/>
    <x v="1"/>
    <x v="3"/>
    <x v="3"/>
    <x v="1"/>
    <x v="3"/>
    <n v="73"/>
    <x v="18"/>
    <n v="18600"/>
    <x v="260"/>
    <x v="260"/>
  </r>
  <r>
    <s v="ORD0263"/>
    <s v="2024-03-20"/>
    <x v="1"/>
    <x v="2"/>
    <x v="1"/>
    <x v="1"/>
    <x v="1"/>
    <x v="1"/>
    <x v="1"/>
    <n v="80"/>
    <x v="6"/>
    <n v="4485"/>
    <x v="261"/>
    <x v="261"/>
  </r>
  <r>
    <s v="ORD0264"/>
    <s v="2024-02-29"/>
    <x v="5"/>
    <x v="0"/>
    <x v="0"/>
    <x v="0"/>
    <x v="0"/>
    <x v="0"/>
    <x v="2"/>
    <n v="51"/>
    <x v="15"/>
    <n v="99999"/>
    <x v="262"/>
    <x v="262"/>
  </r>
  <r>
    <s v="ORD0265"/>
    <s v="2024-12-05"/>
    <x v="5"/>
    <x v="3"/>
    <x v="0"/>
    <x v="5"/>
    <x v="5"/>
    <x v="0"/>
    <x v="1"/>
    <n v="11"/>
    <x v="12"/>
    <n v="92300"/>
    <x v="263"/>
    <x v="263"/>
  </r>
  <r>
    <s v="ORD0266"/>
    <s v="2024-11-17"/>
    <x v="0"/>
    <x v="0"/>
    <x v="0"/>
    <x v="5"/>
    <x v="5"/>
    <x v="0"/>
    <x v="0"/>
    <n v="92"/>
    <x v="12"/>
    <n v="161900"/>
    <x v="264"/>
    <x v="264"/>
  </r>
  <r>
    <s v="ORD0267"/>
    <s v="2024-07-19"/>
    <x v="3"/>
    <x v="0"/>
    <x v="0"/>
    <x v="6"/>
    <x v="6"/>
    <x v="3"/>
    <x v="3"/>
    <n v="94"/>
    <x v="11"/>
    <n v="450200"/>
    <x v="265"/>
    <x v="265"/>
  </r>
  <r>
    <s v="ORD0268"/>
    <s v="2024-07-13"/>
    <x v="4"/>
    <x v="3"/>
    <x v="0"/>
    <x v="0"/>
    <x v="0"/>
    <x v="0"/>
    <x v="2"/>
    <n v="51"/>
    <x v="16"/>
    <n v="23270"/>
    <x v="266"/>
    <x v="266"/>
  </r>
  <r>
    <s v="ORD0269"/>
    <s v="2024-12-14"/>
    <x v="2"/>
    <x v="1"/>
    <x v="2"/>
    <x v="4"/>
    <x v="4"/>
    <x v="4"/>
    <x v="1"/>
    <n v="71"/>
    <x v="13"/>
    <n v="2410"/>
    <x v="267"/>
    <x v="267"/>
  </r>
  <r>
    <s v="ORD0270"/>
    <s v="2024-12-15"/>
    <x v="5"/>
    <x v="0"/>
    <x v="0"/>
    <x v="5"/>
    <x v="5"/>
    <x v="0"/>
    <x v="1"/>
    <n v="85"/>
    <x v="4"/>
    <n v="60100"/>
    <x v="268"/>
    <x v="268"/>
  </r>
  <r>
    <s v="ORD0271"/>
    <s v="2024-06-16"/>
    <x v="1"/>
    <x v="1"/>
    <x v="0"/>
    <x v="6"/>
    <x v="6"/>
    <x v="0"/>
    <x v="0"/>
    <n v="7"/>
    <x v="4"/>
    <n v="69000"/>
    <x v="269"/>
    <x v="269"/>
  </r>
  <r>
    <s v="ORD0272"/>
    <s v="2024-10-14"/>
    <x v="0"/>
    <x v="2"/>
    <x v="2"/>
    <x v="2"/>
    <x v="2"/>
    <x v="4"/>
    <x v="1"/>
    <n v="96"/>
    <x v="1"/>
    <n v="4520"/>
    <x v="270"/>
    <x v="270"/>
  </r>
  <r>
    <s v="ORD0273"/>
    <s v="2024-07-10"/>
    <x v="2"/>
    <x v="1"/>
    <x v="1"/>
    <x v="3"/>
    <x v="3"/>
    <x v="1"/>
    <x v="3"/>
    <n v="36"/>
    <x v="12"/>
    <n v="45600"/>
    <x v="271"/>
    <x v="271"/>
  </r>
  <r>
    <s v="ORD0274"/>
    <s v="2024-04-30"/>
    <x v="0"/>
    <x v="0"/>
    <x v="2"/>
    <x v="2"/>
    <x v="2"/>
    <x v="2"/>
    <x v="3"/>
    <n v="12"/>
    <x v="11"/>
    <n v="780"/>
    <x v="272"/>
    <x v="272"/>
  </r>
  <r>
    <s v="ORD0275"/>
    <s v="2024-12-04"/>
    <x v="0"/>
    <x v="1"/>
    <x v="2"/>
    <x v="4"/>
    <x v="4"/>
    <x v="4"/>
    <x v="1"/>
    <n v="53"/>
    <x v="13"/>
    <n v="3118"/>
    <x v="273"/>
    <x v="273"/>
  </r>
  <r>
    <s v="ORD0276"/>
    <s v="2024-06-30"/>
    <x v="0"/>
    <x v="3"/>
    <x v="0"/>
    <x v="0"/>
    <x v="0"/>
    <x v="0"/>
    <x v="2"/>
    <n v="61"/>
    <x v="0"/>
    <n v="43230"/>
    <x v="274"/>
    <x v="274"/>
  </r>
  <r>
    <s v="ORD0277"/>
    <s v="2024-04-04"/>
    <x v="5"/>
    <x v="0"/>
    <x v="0"/>
    <x v="5"/>
    <x v="5"/>
    <x v="0"/>
    <x v="3"/>
    <n v="47"/>
    <x v="10"/>
    <n v="31250"/>
    <x v="275"/>
    <x v="275"/>
  </r>
  <r>
    <s v="ORD0278"/>
    <s v="2024-05-10"/>
    <x v="1"/>
    <x v="2"/>
    <x v="2"/>
    <x v="4"/>
    <x v="4"/>
    <x v="4"/>
    <x v="4"/>
    <n v="88"/>
    <x v="16"/>
    <n v="3796"/>
    <x v="276"/>
    <x v="276"/>
  </r>
  <r>
    <s v="ORD0279"/>
    <s v="2024-12-13"/>
    <x v="0"/>
    <x v="3"/>
    <x v="2"/>
    <x v="2"/>
    <x v="2"/>
    <x v="4"/>
    <x v="0"/>
    <n v="43"/>
    <x v="6"/>
    <n v="1678"/>
    <x v="277"/>
    <x v="277"/>
  </r>
  <r>
    <s v="ORD0280"/>
    <s v="2024-01-05"/>
    <x v="3"/>
    <x v="1"/>
    <x v="1"/>
    <x v="1"/>
    <x v="1"/>
    <x v="1"/>
    <x v="1"/>
    <n v="81"/>
    <x v="11"/>
    <n v="2068"/>
    <x v="278"/>
    <x v="278"/>
  </r>
  <r>
    <s v="ORD0281"/>
    <s v="2024-12-13"/>
    <x v="2"/>
    <x v="0"/>
    <x v="1"/>
    <x v="3"/>
    <x v="3"/>
    <x v="1"/>
    <x v="4"/>
    <n v="79"/>
    <x v="7"/>
    <n v="23290"/>
    <x v="279"/>
    <x v="279"/>
  </r>
  <r>
    <s v="ORD0282"/>
    <s v="2024-08-22"/>
    <x v="5"/>
    <x v="1"/>
    <x v="2"/>
    <x v="2"/>
    <x v="2"/>
    <x v="2"/>
    <x v="2"/>
    <n v="73"/>
    <x v="16"/>
    <n v="1113"/>
    <x v="280"/>
    <x v="280"/>
  </r>
  <r>
    <s v="ORD0283"/>
    <s v="2024-08-14"/>
    <x v="2"/>
    <x v="1"/>
    <x v="2"/>
    <x v="4"/>
    <x v="4"/>
    <x v="2"/>
    <x v="4"/>
    <n v="64"/>
    <x v="18"/>
    <n v="1369"/>
    <x v="281"/>
    <x v="281"/>
  </r>
  <r>
    <s v="ORD0284"/>
    <s v="2024-05-06"/>
    <x v="3"/>
    <x v="3"/>
    <x v="0"/>
    <x v="5"/>
    <x v="5"/>
    <x v="0"/>
    <x v="1"/>
    <n v="13"/>
    <x v="4"/>
    <n v="26210"/>
    <x v="282"/>
    <x v="282"/>
  </r>
  <r>
    <s v="ORD0285"/>
    <s v="2024-03-10"/>
    <x v="5"/>
    <x v="0"/>
    <x v="0"/>
    <x v="0"/>
    <x v="0"/>
    <x v="0"/>
    <x v="1"/>
    <n v="26"/>
    <x v="8"/>
    <n v="26040"/>
    <x v="283"/>
    <x v="283"/>
  </r>
  <r>
    <s v="ORD0286"/>
    <s v="2024-12-22"/>
    <x v="1"/>
    <x v="3"/>
    <x v="0"/>
    <x v="6"/>
    <x v="6"/>
    <x v="0"/>
    <x v="4"/>
    <n v="35"/>
    <x v="10"/>
    <n v="145720"/>
    <x v="284"/>
    <x v="284"/>
  </r>
  <r>
    <s v="ORD0287"/>
    <s v="2024-11-28"/>
    <x v="2"/>
    <x v="0"/>
    <x v="0"/>
    <x v="0"/>
    <x v="0"/>
    <x v="0"/>
    <x v="3"/>
    <n v="2"/>
    <x v="0"/>
    <n v="30200"/>
    <x v="285"/>
    <x v="285"/>
  </r>
  <r>
    <s v="ORD0288"/>
    <s v="2024-11-28"/>
    <x v="1"/>
    <x v="0"/>
    <x v="2"/>
    <x v="4"/>
    <x v="4"/>
    <x v="4"/>
    <x v="3"/>
    <n v="4"/>
    <x v="10"/>
    <n v="1165"/>
    <x v="286"/>
    <x v="286"/>
  </r>
  <r>
    <s v="ORD0289"/>
    <s v="2024-07-22"/>
    <x v="5"/>
    <x v="1"/>
    <x v="0"/>
    <x v="0"/>
    <x v="0"/>
    <x v="0"/>
    <x v="0"/>
    <n v="92"/>
    <x v="3"/>
    <n v="78900"/>
    <x v="287"/>
    <x v="287"/>
  </r>
  <r>
    <s v="ORD0290"/>
    <s v="2024-01-09"/>
    <x v="2"/>
    <x v="0"/>
    <x v="1"/>
    <x v="1"/>
    <x v="1"/>
    <x v="1"/>
    <x v="4"/>
    <n v="57"/>
    <x v="8"/>
    <n v="2488"/>
    <x v="288"/>
    <x v="288"/>
  </r>
  <r>
    <s v="ORD0291"/>
    <s v="2024-04-08"/>
    <x v="1"/>
    <x v="2"/>
    <x v="0"/>
    <x v="5"/>
    <x v="5"/>
    <x v="3"/>
    <x v="1"/>
    <n v="35"/>
    <x v="16"/>
    <n v="32790"/>
    <x v="289"/>
    <x v="289"/>
  </r>
  <r>
    <s v="ORD0292"/>
    <s v="2024-04-22"/>
    <x v="5"/>
    <x v="2"/>
    <x v="2"/>
    <x v="4"/>
    <x v="4"/>
    <x v="2"/>
    <x v="1"/>
    <n v="33"/>
    <x v="3"/>
    <n v="4151"/>
    <x v="290"/>
    <x v="290"/>
  </r>
  <r>
    <s v="ORD0293"/>
    <s v="2024-01-18"/>
    <x v="5"/>
    <x v="3"/>
    <x v="2"/>
    <x v="4"/>
    <x v="4"/>
    <x v="2"/>
    <x v="3"/>
    <n v="12"/>
    <x v="7"/>
    <n v="4864"/>
    <x v="291"/>
    <x v="291"/>
  </r>
  <r>
    <s v="ORD0294"/>
    <s v="2024-10-22"/>
    <x v="4"/>
    <x v="1"/>
    <x v="2"/>
    <x v="4"/>
    <x v="4"/>
    <x v="2"/>
    <x v="3"/>
    <n v="89"/>
    <x v="0"/>
    <n v="1800"/>
    <x v="292"/>
    <x v="292"/>
  </r>
  <r>
    <s v="ORD0295"/>
    <s v="2024-04-18"/>
    <x v="2"/>
    <x v="3"/>
    <x v="2"/>
    <x v="4"/>
    <x v="4"/>
    <x v="2"/>
    <x v="3"/>
    <n v="13"/>
    <x v="11"/>
    <n v="785"/>
    <x v="293"/>
    <x v="293"/>
  </r>
  <r>
    <s v="ORD0296"/>
    <s v="2024-04-26"/>
    <x v="4"/>
    <x v="0"/>
    <x v="0"/>
    <x v="6"/>
    <x v="6"/>
    <x v="0"/>
    <x v="4"/>
    <n v="79"/>
    <x v="12"/>
    <n v="95000"/>
    <x v="294"/>
    <x v="294"/>
  </r>
  <r>
    <s v="ORD0297"/>
    <s v="2024-08-16"/>
    <x v="2"/>
    <x v="2"/>
    <x v="1"/>
    <x v="3"/>
    <x v="3"/>
    <x v="1"/>
    <x v="1"/>
    <n v="15"/>
    <x v="14"/>
    <n v="31300"/>
    <x v="295"/>
    <x v="295"/>
  </r>
  <r>
    <s v="ORD0298"/>
    <s v="2024-02-19"/>
    <x v="3"/>
    <x v="2"/>
    <x v="1"/>
    <x v="3"/>
    <x v="3"/>
    <x v="1"/>
    <x v="4"/>
    <n v="50"/>
    <x v="15"/>
    <n v="30000"/>
    <x v="296"/>
    <x v="296"/>
  </r>
  <r>
    <s v="ORD0299"/>
    <s v="2024-03-15"/>
    <x v="1"/>
    <x v="3"/>
    <x v="1"/>
    <x v="3"/>
    <x v="3"/>
    <x v="1"/>
    <x v="0"/>
    <n v="51"/>
    <x v="15"/>
    <n v="65550"/>
    <x v="297"/>
    <x v="297"/>
  </r>
  <r>
    <s v="ORD0300"/>
    <s v="2024-11-17"/>
    <x v="3"/>
    <x v="1"/>
    <x v="1"/>
    <x v="1"/>
    <x v="1"/>
    <x v="1"/>
    <x v="3"/>
    <n v="28"/>
    <x v="7"/>
    <n v="4259"/>
    <x v="298"/>
    <x v="298"/>
  </r>
  <r>
    <s v="ORD0301"/>
    <s v="2024-05-06"/>
    <x v="1"/>
    <x v="0"/>
    <x v="2"/>
    <x v="2"/>
    <x v="2"/>
    <x v="2"/>
    <x v="4"/>
    <n v="83"/>
    <x v="9"/>
    <n v="3271"/>
    <x v="299"/>
    <x v="299"/>
  </r>
  <r>
    <s v="ORD0302"/>
    <s v="2024-10-09"/>
    <x v="1"/>
    <x v="2"/>
    <x v="2"/>
    <x v="4"/>
    <x v="4"/>
    <x v="2"/>
    <x v="4"/>
    <n v="58"/>
    <x v="0"/>
    <n v="3315"/>
    <x v="300"/>
    <x v="300"/>
  </r>
  <r>
    <s v="ORD0303"/>
    <s v="2024-08-14"/>
    <x v="4"/>
    <x v="0"/>
    <x v="0"/>
    <x v="6"/>
    <x v="6"/>
    <x v="0"/>
    <x v="2"/>
    <n v="24"/>
    <x v="13"/>
    <n v="145000"/>
    <x v="301"/>
    <x v="301"/>
  </r>
  <r>
    <s v="ORD0304"/>
    <s v="2024-12-01"/>
    <x v="5"/>
    <x v="2"/>
    <x v="0"/>
    <x v="5"/>
    <x v="5"/>
    <x v="0"/>
    <x v="1"/>
    <n v="97"/>
    <x v="13"/>
    <n v="27230"/>
    <x v="302"/>
    <x v="302"/>
  </r>
  <r>
    <s v="ORD0305"/>
    <s v="2024-02-19"/>
    <x v="3"/>
    <x v="0"/>
    <x v="1"/>
    <x v="3"/>
    <x v="3"/>
    <x v="1"/>
    <x v="3"/>
    <n v="16"/>
    <x v="0"/>
    <n v="12860"/>
    <x v="303"/>
    <x v="303"/>
  </r>
  <r>
    <s v="ORD0306"/>
    <s v="2024-09-10"/>
    <x v="2"/>
    <x v="1"/>
    <x v="2"/>
    <x v="2"/>
    <x v="2"/>
    <x v="2"/>
    <x v="3"/>
    <n v="94"/>
    <x v="5"/>
    <n v="4216"/>
    <x v="304"/>
    <x v="304"/>
  </r>
  <r>
    <s v="ORD0307"/>
    <s v="2024-06-13"/>
    <x v="1"/>
    <x v="3"/>
    <x v="2"/>
    <x v="2"/>
    <x v="2"/>
    <x v="4"/>
    <x v="4"/>
    <n v="34"/>
    <x v="7"/>
    <n v="4042"/>
    <x v="305"/>
    <x v="305"/>
  </r>
  <r>
    <s v="ORD0308"/>
    <s v="2024-03-12"/>
    <x v="0"/>
    <x v="0"/>
    <x v="0"/>
    <x v="0"/>
    <x v="0"/>
    <x v="0"/>
    <x v="0"/>
    <n v="23"/>
    <x v="5"/>
    <n v="49240"/>
    <x v="306"/>
    <x v="306"/>
  </r>
  <r>
    <s v="ORD0309"/>
    <s v="2024-01-16"/>
    <x v="2"/>
    <x v="3"/>
    <x v="0"/>
    <x v="6"/>
    <x v="6"/>
    <x v="0"/>
    <x v="0"/>
    <n v="4"/>
    <x v="19"/>
    <n v="445901"/>
    <x v="307"/>
    <x v="307"/>
  </r>
  <r>
    <s v="ORD0310"/>
    <s v="2024-08-04"/>
    <x v="2"/>
    <x v="0"/>
    <x v="1"/>
    <x v="3"/>
    <x v="3"/>
    <x v="1"/>
    <x v="1"/>
    <n v="97"/>
    <x v="18"/>
    <n v="13300"/>
    <x v="308"/>
    <x v="308"/>
  </r>
  <r>
    <s v="ORD0311"/>
    <s v="2024-02-02"/>
    <x v="1"/>
    <x v="0"/>
    <x v="2"/>
    <x v="4"/>
    <x v="4"/>
    <x v="2"/>
    <x v="1"/>
    <n v="66"/>
    <x v="0"/>
    <n v="1987"/>
    <x v="309"/>
    <x v="309"/>
  </r>
  <r>
    <s v="ORD0312"/>
    <s v="2024-05-22"/>
    <x v="1"/>
    <x v="2"/>
    <x v="1"/>
    <x v="3"/>
    <x v="3"/>
    <x v="1"/>
    <x v="1"/>
    <n v="49"/>
    <x v="17"/>
    <n v="28610"/>
    <x v="310"/>
    <x v="310"/>
  </r>
  <r>
    <s v="ORD0313"/>
    <s v="2024-08-10"/>
    <x v="5"/>
    <x v="2"/>
    <x v="2"/>
    <x v="4"/>
    <x v="4"/>
    <x v="2"/>
    <x v="2"/>
    <n v="23"/>
    <x v="3"/>
    <n v="890"/>
    <x v="311"/>
    <x v="311"/>
  </r>
  <r>
    <s v="ORD0314"/>
    <s v="2024-02-15"/>
    <x v="0"/>
    <x v="2"/>
    <x v="1"/>
    <x v="3"/>
    <x v="3"/>
    <x v="1"/>
    <x v="0"/>
    <n v="89"/>
    <x v="9"/>
    <n v="48850"/>
    <x v="312"/>
    <x v="312"/>
  </r>
  <r>
    <s v="ORD0315"/>
    <s v="2024-11-05"/>
    <x v="3"/>
    <x v="2"/>
    <x v="0"/>
    <x v="6"/>
    <x v="6"/>
    <x v="0"/>
    <x v="4"/>
    <n v="13"/>
    <x v="0"/>
    <n v="146000"/>
    <x v="313"/>
    <x v="313"/>
  </r>
  <r>
    <s v="ORD0316"/>
    <s v="2024-10-25"/>
    <x v="2"/>
    <x v="1"/>
    <x v="2"/>
    <x v="4"/>
    <x v="4"/>
    <x v="2"/>
    <x v="3"/>
    <n v="95"/>
    <x v="9"/>
    <n v="980"/>
    <x v="314"/>
    <x v="314"/>
  </r>
  <r>
    <s v="ORD0317"/>
    <s v="2024-01-16"/>
    <x v="0"/>
    <x v="1"/>
    <x v="0"/>
    <x v="0"/>
    <x v="0"/>
    <x v="0"/>
    <x v="1"/>
    <n v="42"/>
    <x v="19"/>
    <n v="45888"/>
    <x v="315"/>
    <x v="315"/>
  </r>
  <r>
    <s v="ORD0318"/>
    <s v="2024-12-11"/>
    <x v="2"/>
    <x v="2"/>
    <x v="0"/>
    <x v="6"/>
    <x v="6"/>
    <x v="0"/>
    <x v="4"/>
    <n v="82"/>
    <x v="8"/>
    <n v="147000"/>
    <x v="316"/>
    <x v="316"/>
  </r>
  <r>
    <s v="ORD0319"/>
    <s v="2024-04-13"/>
    <x v="2"/>
    <x v="2"/>
    <x v="2"/>
    <x v="2"/>
    <x v="2"/>
    <x v="2"/>
    <x v="1"/>
    <n v="77"/>
    <x v="2"/>
    <n v="4467"/>
    <x v="317"/>
    <x v="317"/>
  </r>
  <r>
    <s v="ORD0320"/>
    <s v="2024-03-02"/>
    <x v="2"/>
    <x v="3"/>
    <x v="2"/>
    <x v="4"/>
    <x v="4"/>
    <x v="2"/>
    <x v="3"/>
    <n v="81"/>
    <x v="8"/>
    <n v="999"/>
    <x v="318"/>
    <x v="318"/>
  </r>
  <r>
    <s v="ORD0321"/>
    <s v="2024-09-01"/>
    <x v="2"/>
    <x v="3"/>
    <x v="2"/>
    <x v="4"/>
    <x v="4"/>
    <x v="2"/>
    <x v="1"/>
    <n v="71"/>
    <x v="19"/>
    <n v="1282"/>
    <x v="319"/>
    <x v="319"/>
  </r>
  <r>
    <s v="ORD0322"/>
    <s v="2024-08-12"/>
    <x v="0"/>
    <x v="2"/>
    <x v="0"/>
    <x v="0"/>
    <x v="0"/>
    <x v="0"/>
    <x v="3"/>
    <n v="16"/>
    <x v="5"/>
    <n v="665025"/>
    <x v="320"/>
    <x v="320"/>
  </r>
  <r>
    <s v="ORD0323"/>
    <s v="2024-12-13"/>
    <x v="0"/>
    <x v="3"/>
    <x v="0"/>
    <x v="5"/>
    <x v="5"/>
    <x v="0"/>
    <x v="2"/>
    <n v="3"/>
    <x v="5"/>
    <n v="26890"/>
    <x v="321"/>
    <x v="321"/>
  </r>
  <r>
    <s v="ORD0324"/>
    <s v="2024-12-04"/>
    <x v="1"/>
    <x v="2"/>
    <x v="1"/>
    <x v="3"/>
    <x v="3"/>
    <x v="1"/>
    <x v="2"/>
    <n v="32"/>
    <x v="6"/>
    <n v="15190"/>
    <x v="322"/>
    <x v="322"/>
  </r>
  <r>
    <s v="ORD0325"/>
    <s v="2024-03-01"/>
    <x v="2"/>
    <x v="0"/>
    <x v="0"/>
    <x v="0"/>
    <x v="0"/>
    <x v="3"/>
    <x v="2"/>
    <n v="87"/>
    <x v="18"/>
    <n v="223365"/>
    <x v="323"/>
    <x v="323"/>
  </r>
  <r>
    <s v="ORD0326"/>
    <s v="2024-01-11"/>
    <x v="4"/>
    <x v="3"/>
    <x v="1"/>
    <x v="1"/>
    <x v="1"/>
    <x v="1"/>
    <x v="4"/>
    <n v="52"/>
    <x v="16"/>
    <n v="964"/>
    <x v="324"/>
    <x v="324"/>
  </r>
  <r>
    <s v="ORD0327"/>
    <s v="2024-06-13"/>
    <x v="3"/>
    <x v="0"/>
    <x v="2"/>
    <x v="4"/>
    <x v="4"/>
    <x v="2"/>
    <x v="4"/>
    <n v="52"/>
    <x v="3"/>
    <n v="904"/>
    <x v="325"/>
    <x v="325"/>
  </r>
  <r>
    <s v="ORD0328"/>
    <s v="2024-11-19"/>
    <x v="5"/>
    <x v="1"/>
    <x v="0"/>
    <x v="6"/>
    <x v="6"/>
    <x v="3"/>
    <x v="1"/>
    <n v="77"/>
    <x v="19"/>
    <n v="146210"/>
    <x v="326"/>
    <x v="326"/>
  </r>
  <r>
    <s v="ORD0329"/>
    <s v="2024-07-29"/>
    <x v="2"/>
    <x v="3"/>
    <x v="2"/>
    <x v="2"/>
    <x v="2"/>
    <x v="2"/>
    <x v="3"/>
    <n v="70"/>
    <x v="3"/>
    <n v="580"/>
    <x v="327"/>
    <x v="327"/>
  </r>
  <r>
    <s v="ORD0330"/>
    <s v="2024-08-22"/>
    <x v="3"/>
    <x v="2"/>
    <x v="2"/>
    <x v="4"/>
    <x v="4"/>
    <x v="4"/>
    <x v="3"/>
    <n v="87"/>
    <x v="13"/>
    <n v="4136"/>
    <x v="328"/>
    <x v="328"/>
  </r>
  <r>
    <s v="ORD0331"/>
    <s v="2024-09-14"/>
    <x v="0"/>
    <x v="2"/>
    <x v="0"/>
    <x v="6"/>
    <x v="6"/>
    <x v="3"/>
    <x v="0"/>
    <n v="69"/>
    <x v="6"/>
    <n v="157000"/>
    <x v="329"/>
    <x v="329"/>
  </r>
  <r>
    <s v="ORD0332"/>
    <s v="2024-08-28"/>
    <x v="3"/>
    <x v="1"/>
    <x v="2"/>
    <x v="2"/>
    <x v="2"/>
    <x v="2"/>
    <x v="4"/>
    <n v="51"/>
    <x v="9"/>
    <n v="840"/>
    <x v="330"/>
    <x v="330"/>
  </r>
  <r>
    <s v="ORD0333"/>
    <s v="2024-03-10"/>
    <x v="0"/>
    <x v="0"/>
    <x v="2"/>
    <x v="2"/>
    <x v="2"/>
    <x v="4"/>
    <x v="2"/>
    <n v="67"/>
    <x v="7"/>
    <n v="1226"/>
    <x v="331"/>
    <x v="331"/>
  </r>
  <r>
    <s v="ORD0334"/>
    <s v="2024-02-05"/>
    <x v="0"/>
    <x v="2"/>
    <x v="2"/>
    <x v="2"/>
    <x v="2"/>
    <x v="2"/>
    <x v="1"/>
    <n v="63"/>
    <x v="7"/>
    <n v="1404"/>
    <x v="332"/>
    <x v="332"/>
  </r>
  <r>
    <s v="ORD0335"/>
    <s v="2024-07-02"/>
    <x v="4"/>
    <x v="3"/>
    <x v="2"/>
    <x v="4"/>
    <x v="4"/>
    <x v="4"/>
    <x v="3"/>
    <n v="31"/>
    <x v="7"/>
    <n v="1025"/>
    <x v="333"/>
    <x v="333"/>
  </r>
  <r>
    <s v="ORD0336"/>
    <s v="2024-06-27"/>
    <x v="4"/>
    <x v="3"/>
    <x v="0"/>
    <x v="6"/>
    <x v="6"/>
    <x v="3"/>
    <x v="3"/>
    <n v="26"/>
    <x v="4"/>
    <n v="67000"/>
    <x v="334"/>
    <x v="334"/>
  </r>
  <r>
    <s v="ORD0337"/>
    <s v="2024-06-26"/>
    <x v="4"/>
    <x v="1"/>
    <x v="0"/>
    <x v="0"/>
    <x v="0"/>
    <x v="0"/>
    <x v="3"/>
    <n v="48"/>
    <x v="19"/>
    <n v="28560"/>
    <x v="335"/>
    <x v="335"/>
  </r>
  <r>
    <s v="ORD0338"/>
    <s v="2024-02-22"/>
    <x v="5"/>
    <x v="0"/>
    <x v="2"/>
    <x v="2"/>
    <x v="2"/>
    <x v="4"/>
    <x v="0"/>
    <n v="31"/>
    <x v="17"/>
    <n v="4675"/>
    <x v="336"/>
    <x v="336"/>
  </r>
  <r>
    <s v="ORD0339"/>
    <s v="2024-07-11"/>
    <x v="0"/>
    <x v="2"/>
    <x v="1"/>
    <x v="3"/>
    <x v="3"/>
    <x v="1"/>
    <x v="4"/>
    <n v="9"/>
    <x v="10"/>
    <n v="32670"/>
    <x v="337"/>
    <x v="337"/>
  </r>
  <r>
    <s v="ORD0340"/>
    <s v="2024-04-22"/>
    <x v="2"/>
    <x v="0"/>
    <x v="0"/>
    <x v="5"/>
    <x v="5"/>
    <x v="3"/>
    <x v="1"/>
    <n v="47"/>
    <x v="17"/>
    <n v="31540"/>
    <x v="338"/>
    <x v="338"/>
  </r>
  <r>
    <s v="ORD0341"/>
    <s v="2024-01-13"/>
    <x v="5"/>
    <x v="3"/>
    <x v="1"/>
    <x v="3"/>
    <x v="3"/>
    <x v="1"/>
    <x v="0"/>
    <n v="3"/>
    <x v="10"/>
    <n v="39920"/>
    <x v="339"/>
    <x v="339"/>
  </r>
  <r>
    <s v="ORD0342"/>
    <s v="2024-10-02"/>
    <x v="0"/>
    <x v="0"/>
    <x v="1"/>
    <x v="3"/>
    <x v="3"/>
    <x v="1"/>
    <x v="1"/>
    <n v="72"/>
    <x v="9"/>
    <n v="42310"/>
    <x v="340"/>
    <x v="340"/>
  </r>
  <r>
    <s v="ORD0343"/>
    <s v="2024-04-19"/>
    <x v="0"/>
    <x v="2"/>
    <x v="1"/>
    <x v="3"/>
    <x v="3"/>
    <x v="1"/>
    <x v="2"/>
    <n v="19"/>
    <x v="9"/>
    <n v="34250"/>
    <x v="341"/>
    <x v="341"/>
  </r>
  <r>
    <s v="ORD0344"/>
    <s v="2024-02-21"/>
    <x v="1"/>
    <x v="0"/>
    <x v="2"/>
    <x v="2"/>
    <x v="2"/>
    <x v="4"/>
    <x v="4"/>
    <n v="31"/>
    <x v="16"/>
    <n v="609"/>
    <x v="342"/>
    <x v="342"/>
  </r>
  <r>
    <s v="ORD0345"/>
    <s v="2024-10-21"/>
    <x v="1"/>
    <x v="0"/>
    <x v="0"/>
    <x v="0"/>
    <x v="0"/>
    <x v="3"/>
    <x v="3"/>
    <n v="3"/>
    <x v="6"/>
    <n v="100065"/>
    <x v="343"/>
    <x v="343"/>
  </r>
  <r>
    <s v="ORD0346"/>
    <s v="2024-05-14"/>
    <x v="2"/>
    <x v="2"/>
    <x v="1"/>
    <x v="3"/>
    <x v="3"/>
    <x v="1"/>
    <x v="1"/>
    <n v="31"/>
    <x v="9"/>
    <n v="15860"/>
    <x v="344"/>
    <x v="344"/>
  </r>
  <r>
    <s v="ORD0347"/>
    <s v="2024-06-13"/>
    <x v="5"/>
    <x v="2"/>
    <x v="2"/>
    <x v="4"/>
    <x v="4"/>
    <x v="2"/>
    <x v="2"/>
    <n v="56"/>
    <x v="17"/>
    <n v="2860"/>
    <x v="345"/>
    <x v="345"/>
  </r>
  <r>
    <s v="ORD0348"/>
    <s v="2024-06-30"/>
    <x v="4"/>
    <x v="0"/>
    <x v="2"/>
    <x v="4"/>
    <x v="4"/>
    <x v="4"/>
    <x v="4"/>
    <n v="55"/>
    <x v="15"/>
    <n v="760"/>
    <x v="346"/>
    <x v="346"/>
  </r>
  <r>
    <s v="ORD0349"/>
    <s v="2024-03-06"/>
    <x v="1"/>
    <x v="3"/>
    <x v="0"/>
    <x v="6"/>
    <x v="6"/>
    <x v="0"/>
    <x v="1"/>
    <n v="65"/>
    <x v="15"/>
    <n v="142130"/>
    <x v="347"/>
    <x v="347"/>
  </r>
  <r>
    <s v="ORD0350"/>
    <s v="2024-04-05"/>
    <x v="4"/>
    <x v="0"/>
    <x v="0"/>
    <x v="5"/>
    <x v="5"/>
    <x v="3"/>
    <x v="4"/>
    <n v="92"/>
    <x v="5"/>
    <n v="26360"/>
    <x v="348"/>
    <x v="348"/>
  </r>
  <r>
    <s v="ORD0351"/>
    <s v="2024-04-16"/>
    <x v="1"/>
    <x v="2"/>
    <x v="1"/>
    <x v="1"/>
    <x v="1"/>
    <x v="1"/>
    <x v="3"/>
    <n v="8"/>
    <x v="3"/>
    <n v="1100"/>
    <x v="349"/>
    <x v="349"/>
  </r>
  <r>
    <s v="ORD0352"/>
    <s v="2024-09-05"/>
    <x v="0"/>
    <x v="1"/>
    <x v="1"/>
    <x v="3"/>
    <x v="3"/>
    <x v="1"/>
    <x v="0"/>
    <n v="80"/>
    <x v="1"/>
    <n v="22810"/>
    <x v="350"/>
    <x v="350"/>
  </r>
  <r>
    <s v="ORD0353"/>
    <s v="2024-10-29"/>
    <x v="5"/>
    <x v="2"/>
    <x v="1"/>
    <x v="1"/>
    <x v="1"/>
    <x v="1"/>
    <x v="1"/>
    <n v="85"/>
    <x v="12"/>
    <n v="1000"/>
    <x v="351"/>
    <x v="351"/>
  </r>
  <r>
    <s v="ORD0354"/>
    <s v="2024-03-04"/>
    <x v="4"/>
    <x v="0"/>
    <x v="0"/>
    <x v="6"/>
    <x v="6"/>
    <x v="3"/>
    <x v="4"/>
    <n v="23"/>
    <x v="18"/>
    <n v="68000"/>
    <x v="352"/>
    <x v="352"/>
  </r>
  <r>
    <s v="ORD0355"/>
    <s v="2024-05-25"/>
    <x v="4"/>
    <x v="3"/>
    <x v="1"/>
    <x v="3"/>
    <x v="3"/>
    <x v="1"/>
    <x v="2"/>
    <n v="88"/>
    <x v="7"/>
    <n v="47250"/>
    <x v="353"/>
    <x v="353"/>
  </r>
  <r>
    <s v="ORD0356"/>
    <s v="2024-01-08"/>
    <x v="0"/>
    <x v="1"/>
    <x v="0"/>
    <x v="0"/>
    <x v="0"/>
    <x v="3"/>
    <x v="0"/>
    <n v="78"/>
    <x v="13"/>
    <n v="23440"/>
    <x v="354"/>
    <x v="354"/>
  </r>
  <r>
    <s v="ORD0357"/>
    <s v="2024-10-02"/>
    <x v="5"/>
    <x v="3"/>
    <x v="2"/>
    <x v="4"/>
    <x v="4"/>
    <x v="4"/>
    <x v="2"/>
    <n v="77"/>
    <x v="9"/>
    <n v="1095"/>
    <x v="355"/>
    <x v="355"/>
  </r>
  <r>
    <s v="ORD0358"/>
    <s v="2024-02-17"/>
    <x v="3"/>
    <x v="1"/>
    <x v="0"/>
    <x v="0"/>
    <x v="0"/>
    <x v="3"/>
    <x v="4"/>
    <n v="96"/>
    <x v="17"/>
    <n v="78925"/>
    <x v="356"/>
    <x v="356"/>
  </r>
  <r>
    <s v="ORD0359"/>
    <s v="2024-12-07"/>
    <x v="4"/>
    <x v="2"/>
    <x v="0"/>
    <x v="5"/>
    <x v="5"/>
    <x v="3"/>
    <x v="2"/>
    <n v="40"/>
    <x v="19"/>
    <n v="30710"/>
    <x v="357"/>
    <x v="357"/>
  </r>
  <r>
    <s v="ORD0360"/>
    <s v="2024-12-08"/>
    <x v="0"/>
    <x v="2"/>
    <x v="0"/>
    <x v="5"/>
    <x v="5"/>
    <x v="3"/>
    <x v="2"/>
    <n v="97"/>
    <x v="9"/>
    <n v="181600"/>
    <x v="358"/>
    <x v="358"/>
  </r>
  <r>
    <s v="ORD0361"/>
    <s v="2024-08-10"/>
    <x v="5"/>
    <x v="3"/>
    <x v="2"/>
    <x v="4"/>
    <x v="4"/>
    <x v="4"/>
    <x v="4"/>
    <n v="61"/>
    <x v="16"/>
    <n v="741"/>
    <x v="359"/>
    <x v="359"/>
  </r>
  <r>
    <s v="ORD0362"/>
    <s v="2024-05-10"/>
    <x v="4"/>
    <x v="3"/>
    <x v="1"/>
    <x v="1"/>
    <x v="1"/>
    <x v="1"/>
    <x v="0"/>
    <n v="91"/>
    <x v="18"/>
    <n v="3205"/>
    <x v="360"/>
    <x v="360"/>
  </r>
  <r>
    <s v="ORD0363"/>
    <s v="2024-09-19"/>
    <x v="3"/>
    <x v="2"/>
    <x v="0"/>
    <x v="5"/>
    <x v="5"/>
    <x v="3"/>
    <x v="2"/>
    <n v="15"/>
    <x v="8"/>
    <n v="111800"/>
    <x v="361"/>
    <x v="361"/>
  </r>
  <r>
    <s v="ORD0364"/>
    <s v="2024-09-07"/>
    <x v="3"/>
    <x v="3"/>
    <x v="2"/>
    <x v="2"/>
    <x v="2"/>
    <x v="2"/>
    <x v="1"/>
    <n v="75"/>
    <x v="0"/>
    <n v="2214"/>
    <x v="362"/>
    <x v="362"/>
  </r>
  <r>
    <s v="ORD0365"/>
    <s v="2024-08-11"/>
    <x v="4"/>
    <x v="2"/>
    <x v="2"/>
    <x v="2"/>
    <x v="2"/>
    <x v="4"/>
    <x v="1"/>
    <n v="57"/>
    <x v="9"/>
    <n v="2103"/>
    <x v="363"/>
    <x v="363"/>
  </r>
  <r>
    <s v="ORD0366"/>
    <s v="2024-02-16"/>
    <x v="0"/>
    <x v="3"/>
    <x v="0"/>
    <x v="5"/>
    <x v="5"/>
    <x v="3"/>
    <x v="4"/>
    <n v="72"/>
    <x v="3"/>
    <n v="45900"/>
    <x v="364"/>
    <x v="364"/>
  </r>
  <r>
    <s v="ORD0367"/>
    <s v="2024-07-22"/>
    <x v="0"/>
    <x v="2"/>
    <x v="2"/>
    <x v="2"/>
    <x v="2"/>
    <x v="4"/>
    <x v="0"/>
    <n v="79"/>
    <x v="11"/>
    <n v="3049"/>
    <x v="365"/>
    <x v="365"/>
  </r>
  <r>
    <s v="ORD0368"/>
    <s v="2024-12-15"/>
    <x v="3"/>
    <x v="3"/>
    <x v="0"/>
    <x v="0"/>
    <x v="0"/>
    <x v="3"/>
    <x v="0"/>
    <n v="37"/>
    <x v="5"/>
    <n v="98700"/>
    <x v="366"/>
    <x v="366"/>
  </r>
  <r>
    <s v="ORD0369"/>
    <s v="2024-02-14"/>
    <x v="3"/>
    <x v="0"/>
    <x v="0"/>
    <x v="6"/>
    <x v="6"/>
    <x v="0"/>
    <x v="4"/>
    <n v="98"/>
    <x v="6"/>
    <n v="69500"/>
    <x v="367"/>
    <x v="367"/>
  </r>
  <r>
    <s v="ORD0370"/>
    <s v="2024-10-25"/>
    <x v="3"/>
    <x v="0"/>
    <x v="1"/>
    <x v="1"/>
    <x v="1"/>
    <x v="1"/>
    <x v="1"/>
    <n v="39"/>
    <x v="4"/>
    <n v="3354"/>
    <x v="368"/>
    <x v="368"/>
  </r>
  <r>
    <s v="ORD0371"/>
    <s v="2024-09-08"/>
    <x v="5"/>
    <x v="1"/>
    <x v="2"/>
    <x v="4"/>
    <x v="4"/>
    <x v="2"/>
    <x v="0"/>
    <n v="17"/>
    <x v="3"/>
    <n v="704"/>
    <x v="369"/>
    <x v="369"/>
  </r>
  <r>
    <s v="ORD0372"/>
    <s v="2024-12-23"/>
    <x v="2"/>
    <x v="0"/>
    <x v="1"/>
    <x v="1"/>
    <x v="1"/>
    <x v="1"/>
    <x v="1"/>
    <n v="27"/>
    <x v="10"/>
    <n v="1300"/>
    <x v="370"/>
    <x v="370"/>
  </r>
  <r>
    <s v="ORD0373"/>
    <s v="2024-04-25"/>
    <x v="3"/>
    <x v="2"/>
    <x v="1"/>
    <x v="3"/>
    <x v="3"/>
    <x v="1"/>
    <x v="3"/>
    <n v="66"/>
    <x v="14"/>
    <n v="19670"/>
    <x v="371"/>
    <x v="371"/>
  </r>
  <r>
    <s v="ORD0374"/>
    <s v="2024-10-13"/>
    <x v="2"/>
    <x v="0"/>
    <x v="1"/>
    <x v="3"/>
    <x v="3"/>
    <x v="1"/>
    <x v="4"/>
    <n v="36"/>
    <x v="6"/>
    <n v="20480"/>
    <x v="372"/>
    <x v="372"/>
  </r>
  <r>
    <s v="ORD0375"/>
    <s v="2024-04-18"/>
    <x v="5"/>
    <x v="3"/>
    <x v="2"/>
    <x v="2"/>
    <x v="2"/>
    <x v="4"/>
    <x v="3"/>
    <n v="60"/>
    <x v="18"/>
    <n v="2813"/>
    <x v="373"/>
    <x v="373"/>
  </r>
  <r>
    <s v="ORD0376"/>
    <s v="2024-01-27"/>
    <x v="0"/>
    <x v="0"/>
    <x v="1"/>
    <x v="1"/>
    <x v="1"/>
    <x v="1"/>
    <x v="4"/>
    <n v="0"/>
    <x v="7"/>
    <n v="1550"/>
    <x v="374"/>
    <x v="374"/>
  </r>
  <r>
    <s v="ORD0377"/>
    <s v="2024-02-03"/>
    <x v="0"/>
    <x v="1"/>
    <x v="2"/>
    <x v="2"/>
    <x v="2"/>
    <x v="4"/>
    <x v="0"/>
    <n v="97"/>
    <x v="0"/>
    <n v="3129"/>
    <x v="375"/>
    <x v="375"/>
  </r>
  <r>
    <s v="ORD0378"/>
    <s v="2024-10-01"/>
    <x v="5"/>
    <x v="3"/>
    <x v="0"/>
    <x v="6"/>
    <x v="6"/>
    <x v="0"/>
    <x v="0"/>
    <n v="87"/>
    <x v="11"/>
    <n v="138730"/>
    <x v="376"/>
    <x v="376"/>
  </r>
  <r>
    <s v="ORD0379"/>
    <s v="2024-05-21"/>
    <x v="2"/>
    <x v="0"/>
    <x v="1"/>
    <x v="1"/>
    <x v="1"/>
    <x v="1"/>
    <x v="3"/>
    <n v="42"/>
    <x v="18"/>
    <n v="1723"/>
    <x v="377"/>
    <x v="377"/>
  </r>
  <r>
    <s v="ORD0380"/>
    <s v="2024-07-19"/>
    <x v="1"/>
    <x v="0"/>
    <x v="1"/>
    <x v="1"/>
    <x v="1"/>
    <x v="1"/>
    <x v="1"/>
    <n v="94"/>
    <x v="7"/>
    <n v="2707"/>
    <x v="378"/>
    <x v="378"/>
  </r>
  <r>
    <s v="ORD0381"/>
    <s v="2024-01-04"/>
    <x v="1"/>
    <x v="2"/>
    <x v="0"/>
    <x v="5"/>
    <x v="5"/>
    <x v="3"/>
    <x v="3"/>
    <n v="38"/>
    <x v="0"/>
    <n v="124100"/>
    <x v="379"/>
    <x v="379"/>
  </r>
  <r>
    <s v="ORD0382"/>
    <s v="2024-06-14"/>
    <x v="1"/>
    <x v="0"/>
    <x v="0"/>
    <x v="6"/>
    <x v="6"/>
    <x v="3"/>
    <x v="4"/>
    <n v="35"/>
    <x v="18"/>
    <n v="145690"/>
    <x v="380"/>
    <x v="380"/>
  </r>
  <r>
    <s v="ORD0383"/>
    <s v="2024-02-20"/>
    <x v="1"/>
    <x v="2"/>
    <x v="1"/>
    <x v="1"/>
    <x v="1"/>
    <x v="1"/>
    <x v="1"/>
    <n v="13"/>
    <x v="15"/>
    <n v="3600"/>
    <x v="381"/>
    <x v="381"/>
  </r>
  <r>
    <s v="ORD0384"/>
    <s v="2024-04-07"/>
    <x v="2"/>
    <x v="3"/>
    <x v="2"/>
    <x v="4"/>
    <x v="4"/>
    <x v="2"/>
    <x v="0"/>
    <n v="1"/>
    <x v="10"/>
    <n v="3965"/>
    <x v="382"/>
    <x v="382"/>
  </r>
  <r>
    <s v="ORD0385"/>
    <s v="2024-07-30"/>
    <x v="5"/>
    <x v="2"/>
    <x v="1"/>
    <x v="1"/>
    <x v="1"/>
    <x v="1"/>
    <x v="1"/>
    <n v="63"/>
    <x v="2"/>
    <n v="4485"/>
    <x v="73"/>
    <x v="383"/>
  </r>
  <r>
    <s v="ORD0386"/>
    <s v="2024-10-14"/>
    <x v="0"/>
    <x v="1"/>
    <x v="2"/>
    <x v="2"/>
    <x v="2"/>
    <x v="4"/>
    <x v="4"/>
    <n v="10"/>
    <x v="18"/>
    <n v="1146"/>
    <x v="383"/>
    <x v="384"/>
  </r>
  <r>
    <s v="ORD0387"/>
    <s v="2024-09-06"/>
    <x v="4"/>
    <x v="2"/>
    <x v="0"/>
    <x v="6"/>
    <x v="6"/>
    <x v="3"/>
    <x v="4"/>
    <n v="83"/>
    <x v="6"/>
    <n v="148500"/>
    <x v="384"/>
    <x v="385"/>
  </r>
  <r>
    <s v="ORD0388"/>
    <s v="2024-02-12"/>
    <x v="4"/>
    <x v="1"/>
    <x v="1"/>
    <x v="3"/>
    <x v="3"/>
    <x v="1"/>
    <x v="3"/>
    <n v="45"/>
    <x v="13"/>
    <n v="12380"/>
    <x v="385"/>
    <x v="386"/>
  </r>
  <r>
    <s v="ORD0389"/>
    <s v="2024-12-26"/>
    <x v="5"/>
    <x v="2"/>
    <x v="0"/>
    <x v="6"/>
    <x v="6"/>
    <x v="3"/>
    <x v="2"/>
    <n v="3"/>
    <x v="1"/>
    <n v="158400"/>
    <x v="386"/>
    <x v="387"/>
  </r>
  <r>
    <s v="ORD0390"/>
    <s v="2024-12-11"/>
    <x v="4"/>
    <x v="3"/>
    <x v="1"/>
    <x v="3"/>
    <x v="3"/>
    <x v="1"/>
    <x v="0"/>
    <n v="93"/>
    <x v="2"/>
    <n v="34110"/>
    <x v="387"/>
    <x v="388"/>
  </r>
  <r>
    <s v="ORD0391"/>
    <s v="2024-10-18"/>
    <x v="0"/>
    <x v="2"/>
    <x v="1"/>
    <x v="1"/>
    <x v="1"/>
    <x v="1"/>
    <x v="3"/>
    <n v="56"/>
    <x v="15"/>
    <n v="3840"/>
    <x v="388"/>
    <x v="389"/>
  </r>
  <r>
    <s v="ORD0392"/>
    <s v="2024-09-01"/>
    <x v="5"/>
    <x v="0"/>
    <x v="2"/>
    <x v="2"/>
    <x v="2"/>
    <x v="4"/>
    <x v="1"/>
    <n v="69"/>
    <x v="19"/>
    <n v="637"/>
    <x v="389"/>
    <x v="390"/>
  </r>
  <r>
    <s v="ORD0393"/>
    <s v="2024-09-15"/>
    <x v="4"/>
    <x v="0"/>
    <x v="0"/>
    <x v="0"/>
    <x v="0"/>
    <x v="0"/>
    <x v="4"/>
    <n v="24"/>
    <x v="6"/>
    <n v="300300"/>
    <x v="390"/>
    <x v="391"/>
  </r>
  <r>
    <s v="ORD0394"/>
    <s v="2024-10-30"/>
    <x v="0"/>
    <x v="0"/>
    <x v="0"/>
    <x v="0"/>
    <x v="0"/>
    <x v="3"/>
    <x v="1"/>
    <n v="48"/>
    <x v="11"/>
    <n v="55510"/>
    <x v="391"/>
    <x v="392"/>
  </r>
  <r>
    <s v="ORD0395"/>
    <s v="2024-08-01"/>
    <x v="2"/>
    <x v="0"/>
    <x v="2"/>
    <x v="4"/>
    <x v="4"/>
    <x v="2"/>
    <x v="0"/>
    <n v="62"/>
    <x v="5"/>
    <n v="2309"/>
    <x v="392"/>
    <x v="393"/>
  </r>
  <r>
    <s v="ORD0396"/>
    <s v="2024-06-17"/>
    <x v="3"/>
    <x v="1"/>
    <x v="0"/>
    <x v="6"/>
    <x v="6"/>
    <x v="3"/>
    <x v="1"/>
    <n v="4"/>
    <x v="15"/>
    <n v="98700"/>
    <x v="26"/>
    <x v="26"/>
  </r>
  <r>
    <s v="ORD0397"/>
    <s v="2024-03-20"/>
    <x v="3"/>
    <x v="1"/>
    <x v="0"/>
    <x v="6"/>
    <x v="6"/>
    <x v="0"/>
    <x v="2"/>
    <n v="51"/>
    <x v="1"/>
    <n v="78900"/>
    <x v="393"/>
    <x v="394"/>
  </r>
  <r>
    <s v="ORD0398"/>
    <s v="2024-04-18"/>
    <x v="0"/>
    <x v="2"/>
    <x v="0"/>
    <x v="6"/>
    <x v="6"/>
    <x v="3"/>
    <x v="2"/>
    <n v="53"/>
    <x v="0"/>
    <n v="138570"/>
    <x v="394"/>
    <x v="395"/>
  </r>
  <r>
    <s v="ORD0399"/>
    <s v="2024-04-04"/>
    <x v="4"/>
    <x v="1"/>
    <x v="0"/>
    <x v="6"/>
    <x v="6"/>
    <x v="3"/>
    <x v="3"/>
    <n v="10"/>
    <x v="19"/>
    <n v="145200"/>
    <x v="395"/>
    <x v="396"/>
  </r>
  <r>
    <s v="ORD0400"/>
    <s v="2024-01-02"/>
    <x v="1"/>
    <x v="0"/>
    <x v="0"/>
    <x v="5"/>
    <x v="5"/>
    <x v="0"/>
    <x v="1"/>
    <n v="66"/>
    <x v="11"/>
    <n v="41300"/>
    <x v="396"/>
    <x v="397"/>
  </r>
  <r>
    <s v="ORD0401"/>
    <s v="2024-10-13"/>
    <x v="5"/>
    <x v="0"/>
    <x v="1"/>
    <x v="1"/>
    <x v="1"/>
    <x v="1"/>
    <x v="2"/>
    <n v="40"/>
    <x v="14"/>
    <n v="1893"/>
    <x v="397"/>
    <x v="398"/>
  </r>
  <r>
    <s v="ORD0402"/>
    <s v="2024-08-28"/>
    <x v="0"/>
    <x v="2"/>
    <x v="0"/>
    <x v="6"/>
    <x v="6"/>
    <x v="0"/>
    <x v="2"/>
    <n v="80"/>
    <x v="11"/>
    <n v="87900"/>
    <x v="398"/>
    <x v="399"/>
  </r>
  <r>
    <s v="ORD0403"/>
    <s v="2024-08-08"/>
    <x v="2"/>
    <x v="3"/>
    <x v="0"/>
    <x v="5"/>
    <x v="5"/>
    <x v="0"/>
    <x v="0"/>
    <n v="100"/>
    <x v="2"/>
    <n v="44590"/>
    <x v="399"/>
    <x v="400"/>
  </r>
  <r>
    <s v="ORD0404"/>
    <s v="2024-02-01"/>
    <x v="5"/>
    <x v="2"/>
    <x v="2"/>
    <x v="2"/>
    <x v="2"/>
    <x v="2"/>
    <x v="0"/>
    <n v="66"/>
    <x v="2"/>
    <n v="3883"/>
    <x v="400"/>
    <x v="401"/>
  </r>
  <r>
    <s v="ORD0405"/>
    <s v="2024-03-17"/>
    <x v="0"/>
    <x v="3"/>
    <x v="0"/>
    <x v="0"/>
    <x v="0"/>
    <x v="3"/>
    <x v="2"/>
    <n v="37"/>
    <x v="15"/>
    <n v="45600"/>
    <x v="401"/>
    <x v="402"/>
  </r>
  <r>
    <s v="ORD0406"/>
    <s v="2024-07-09"/>
    <x v="3"/>
    <x v="2"/>
    <x v="1"/>
    <x v="3"/>
    <x v="3"/>
    <x v="1"/>
    <x v="4"/>
    <n v="72"/>
    <x v="16"/>
    <n v="28170"/>
    <x v="402"/>
    <x v="403"/>
  </r>
  <r>
    <s v="ORD0407"/>
    <s v="2024-12-31"/>
    <x v="3"/>
    <x v="2"/>
    <x v="1"/>
    <x v="3"/>
    <x v="3"/>
    <x v="1"/>
    <x v="2"/>
    <n v="99"/>
    <x v="3"/>
    <n v="28450"/>
    <x v="403"/>
    <x v="404"/>
  </r>
  <r>
    <s v="ORD0408"/>
    <s v="2024-10-02"/>
    <x v="2"/>
    <x v="2"/>
    <x v="1"/>
    <x v="3"/>
    <x v="3"/>
    <x v="1"/>
    <x v="4"/>
    <n v="49"/>
    <x v="4"/>
    <n v="75000"/>
    <x v="404"/>
    <x v="405"/>
  </r>
  <r>
    <s v="ORD0409"/>
    <s v="2024-12-07"/>
    <x v="5"/>
    <x v="1"/>
    <x v="0"/>
    <x v="0"/>
    <x v="0"/>
    <x v="3"/>
    <x v="1"/>
    <n v="73"/>
    <x v="6"/>
    <n v="256033"/>
    <x v="405"/>
    <x v="406"/>
  </r>
  <r>
    <s v="ORD0410"/>
    <s v="2024-01-03"/>
    <x v="4"/>
    <x v="2"/>
    <x v="0"/>
    <x v="0"/>
    <x v="0"/>
    <x v="3"/>
    <x v="2"/>
    <n v="61"/>
    <x v="9"/>
    <n v="292300"/>
    <x v="406"/>
    <x v="407"/>
  </r>
  <r>
    <s v="ORD0411"/>
    <s v="2024-01-19"/>
    <x v="2"/>
    <x v="1"/>
    <x v="1"/>
    <x v="3"/>
    <x v="3"/>
    <x v="1"/>
    <x v="1"/>
    <n v="98"/>
    <x v="5"/>
    <n v="41570"/>
    <x v="407"/>
    <x v="408"/>
  </r>
  <r>
    <s v="ORD0412"/>
    <s v="2024-06-13"/>
    <x v="3"/>
    <x v="1"/>
    <x v="0"/>
    <x v="5"/>
    <x v="5"/>
    <x v="3"/>
    <x v="1"/>
    <n v="1"/>
    <x v="16"/>
    <n v="62700"/>
    <x v="408"/>
    <x v="409"/>
  </r>
  <r>
    <s v="ORD0413"/>
    <s v="2024-06-05"/>
    <x v="0"/>
    <x v="2"/>
    <x v="0"/>
    <x v="6"/>
    <x v="6"/>
    <x v="0"/>
    <x v="0"/>
    <n v="97"/>
    <x v="6"/>
    <n v="145300"/>
    <x v="409"/>
    <x v="410"/>
  </r>
  <r>
    <s v="ORD0414"/>
    <s v="2024-10-24"/>
    <x v="2"/>
    <x v="2"/>
    <x v="1"/>
    <x v="1"/>
    <x v="1"/>
    <x v="1"/>
    <x v="4"/>
    <n v="30"/>
    <x v="10"/>
    <n v="1660"/>
    <x v="410"/>
    <x v="411"/>
  </r>
  <r>
    <s v="ORD0415"/>
    <s v="2024-05-02"/>
    <x v="0"/>
    <x v="2"/>
    <x v="0"/>
    <x v="5"/>
    <x v="5"/>
    <x v="3"/>
    <x v="1"/>
    <n v="91"/>
    <x v="8"/>
    <n v="49010"/>
    <x v="411"/>
    <x v="412"/>
  </r>
  <r>
    <s v="ORD0416"/>
    <s v="2024-06-27"/>
    <x v="4"/>
    <x v="0"/>
    <x v="2"/>
    <x v="2"/>
    <x v="2"/>
    <x v="4"/>
    <x v="4"/>
    <n v="36"/>
    <x v="18"/>
    <n v="1907"/>
    <x v="412"/>
    <x v="413"/>
  </r>
  <r>
    <s v="ORD0417"/>
    <s v="2024-05-21"/>
    <x v="5"/>
    <x v="3"/>
    <x v="0"/>
    <x v="6"/>
    <x v="6"/>
    <x v="3"/>
    <x v="1"/>
    <n v="89"/>
    <x v="12"/>
    <n v="142500"/>
    <x v="413"/>
    <x v="414"/>
  </r>
  <r>
    <s v="ORD0418"/>
    <s v="2024-09-15"/>
    <x v="4"/>
    <x v="0"/>
    <x v="0"/>
    <x v="0"/>
    <x v="0"/>
    <x v="3"/>
    <x v="3"/>
    <n v="46"/>
    <x v="14"/>
    <n v="308200"/>
    <x v="414"/>
    <x v="415"/>
  </r>
  <r>
    <s v="ORD0419"/>
    <s v="2024-12-30"/>
    <x v="2"/>
    <x v="1"/>
    <x v="2"/>
    <x v="2"/>
    <x v="2"/>
    <x v="2"/>
    <x v="2"/>
    <n v="12"/>
    <x v="13"/>
    <n v="550"/>
    <x v="415"/>
    <x v="416"/>
  </r>
  <r>
    <s v="ORD0420"/>
    <s v="2024-12-12"/>
    <x v="5"/>
    <x v="2"/>
    <x v="0"/>
    <x v="6"/>
    <x v="6"/>
    <x v="0"/>
    <x v="4"/>
    <n v="58"/>
    <x v="16"/>
    <n v="143500"/>
    <x v="416"/>
    <x v="417"/>
  </r>
  <r>
    <s v="ORD0421"/>
    <s v="2024-06-21"/>
    <x v="5"/>
    <x v="3"/>
    <x v="0"/>
    <x v="5"/>
    <x v="5"/>
    <x v="0"/>
    <x v="0"/>
    <n v="85"/>
    <x v="0"/>
    <n v="34970"/>
    <x v="417"/>
    <x v="418"/>
  </r>
  <r>
    <s v="ORD0422"/>
    <s v="2024-07-08"/>
    <x v="1"/>
    <x v="0"/>
    <x v="0"/>
    <x v="5"/>
    <x v="5"/>
    <x v="0"/>
    <x v="3"/>
    <n v="76"/>
    <x v="16"/>
    <n v="27790"/>
    <x v="418"/>
    <x v="419"/>
  </r>
  <r>
    <s v="ORD0423"/>
    <s v="2024-02-14"/>
    <x v="1"/>
    <x v="2"/>
    <x v="2"/>
    <x v="4"/>
    <x v="4"/>
    <x v="4"/>
    <x v="0"/>
    <n v="24"/>
    <x v="2"/>
    <n v="1641"/>
    <x v="419"/>
    <x v="420"/>
  </r>
  <r>
    <s v="ORD0424"/>
    <s v="2024-04-12"/>
    <x v="1"/>
    <x v="2"/>
    <x v="1"/>
    <x v="3"/>
    <x v="3"/>
    <x v="1"/>
    <x v="2"/>
    <n v="73"/>
    <x v="0"/>
    <n v="49830"/>
    <x v="420"/>
    <x v="421"/>
  </r>
  <r>
    <s v="ORD0425"/>
    <s v="2024-11-29"/>
    <x v="1"/>
    <x v="2"/>
    <x v="2"/>
    <x v="2"/>
    <x v="2"/>
    <x v="4"/>
    <x v="3"/>
    <n v="86"/>
    <x v="4"/>
    <n v="1100"/>
    <x v="421"/>
    <x v="422"/>
  </r>
  <r>
    <s v="ORD0426"/>
    <s v="2024-04-07"/>
    <x v="2"/>
    <x v="3"/>
    <x v="0"/>
    <x v="0"/>
    <x v="0"/>
    <x v="0"/>
    <x v="0"/>
    <n v="77"/>
    <x v="15"/>
    <n v="244500"/>
    <x v="422"/>
    <x v="423"/>
  </r>
  <r>
    <s v="ORD0427"/>
    <s v="2024-10-23"/>
    <x v="2"/>
    <x v="0"/>
    <x v="2"/>
    <x v="2"/>
    <x v="2"/>
    <x v="4"/>
    <x v="1"/>
    <n v="10"/>
    <x v="19"/>
    <n v="4620"/>
    <x v="423"/>
    <x v="424"/>
  </r>
  <r>
    <s v="ORD0428"/>
    <s v="2024-06-21"/>
    <x v="5"/>
    <x v="2"/>
    <x v="1"/>
    <x v="3"/>
    <x v="3"/>
    <x v="1"/>
    <x v="4"/>
    <n v="53"/>
    <x v="9"/>
    <n v="38460"/>
    <x v="424"/>
    <x v="425"/>
  </r>
  <r>
    <s v="ORD0429"/>
    <s v="2024-09-28"/>
    <x v="1"/>
    <x v="1"/>
    <x v="2"/>
    <x v="2"/>
    <x v="2"/>
    <x v="4"/>
    <x v="4"/>
    <n v="45"/>
    <x v="4"/>
    <n v="2771"/>
    <x v="425"/>
    <x v="426"/>
  </r>
  <r>
    <s v="ORD0430"/>
    <s v="2024-05-24"/>
    <x v="2"/>
    <x v="3"/>
    <x v="2"/>
    <x v="2"/>
    <x v="2"/>
    <x v="4"/>
    <x v="1"/>
    <n v="38"/>
    <x v="14"/>
    <n v="561"/>
    <x v="426"/>
    <x v="427"/>
  </r>
  <r>
    <s v="ORD0431"/>
    <s v="2024-12-25"/>
    <x v="3"/>
    <x v="1"/>
    <x v="1"/>
    <x v="3"/>
    <x v="3"/>
    <x v="1"/>
    <x v="0"/>
    <n v="60"/>
    <x v="15"/>
    <n v="38040"/>
    <x v="427"/>
    <x v="428"/>
  </r>
  <r>
    <s v="ORD0432"/>
    <s v="2024-08-16"/>
    <x v="4"/>
    <x v="0"/>
    <x v="2"/>
    <x v="4"/>
    <x v="4"/>
    <x v="2"/>
    <x v="0"/>
    <n v="100"/>
    <x v="3"/>
    <n v="878"/>
    <x v="428"/>
    <x v="429"/>
  </r>
  <r>
    <s v="ORD0433"/>
    <s v="2024-01-23"/>
    <x v="5"/>
    <x v="0"/>
    <x v="0"/>
    <x v="0"/>
    <x v="0"/>
    <x v="0"/>
    <x v="4"/>
    <n v="46"/>
    <x v="14"/>
    <n v="411300"/>
    <x v="429"/>
    <x v="430"/>
  </r>
  <r>
    <s v="ORD0434"/>
    <s v="2024-03-24"/>
    <x v="2"/>
    <x v="1"/>
    <x v="1"/>
    <x v="3"/>
    <x v="3"/>
    <x v="1"/>
    <x v="4"/>
    <n v="91"/>
    <x v="17"/>
    <n v="29130"/>
    <x v="430"/>
    <x v="431"/>
  </r>
  <r>
    <s v="ORD0435"/>
    <s v="2024-01-08"/>
    <x v="2"/>
    <x v="0"/>
    <x v="0"/>
    <x v="5"/>
    <x v="5"/>
    <x v="3"/>
    <x v="1"/>
    <n v="14"/>
    <x v="18"/>
    <n v="27620"/>
    <x v="431"/>
    <x v="432"/>
  </r>
  <r>
    <s v="ORD0436"/>
    <s v="2024-03-31"/>
    <x v="0"/>
    <x v="0"/>
    <x v="1"/>
    <x v="1"/>
    <x v="1"/>
    <x v="1"/>
    <x v="0"/>
    <n v="97"/>
    <x v="16"/>
    <n v="1942"/>
    <x v="432"/>
    <x v="433"/>
  </r>
  <r>
    <s v="ORD0437"/>
    <s v="2024-08-30"/>
    <x v="5"/>
    <x v="0"/>
    <x v="0"/>
    <x v="0"/>
    <x v="0"/>
    <x v="0"/>
    <x v="1"/>
    <n v="20"/>
    <x v="0"/>
    <n v="52555"/>
    <x v="433"/>
    <x v="434"/>
  </r>
  <r>
    <s v="ORD0438"/>
    <s v="2024-06-02"/>
    <x v="5"/>
    <x v="2"/>
    <x v="2"/>
    <x v="4"/>
    <x v="4"/>
    <x v="2"/>
    <x v="2"/>
    <n v="65"/>
    <x v="5"/>
    <n v="2270"/>
    <x v="434"/>
    <x v="435"/>
  </r>
  <r>
    <s v="ORD0439"/>
    <s v="2024-06-16"/>
    <x v="2"/>
    <x v="1"/>
    <x v="2"/>
    <x v="4"/>
    <x v="4"/>
    <x v="4"/>
    <x v="2"/>
    <n v="22"/>
    <x v="19"/>
    <n v="4374"/>
    <x v="435"/>
    <x v="436"/>
  </r>
  <r>
    <s v="ORD0440"/>
    <s v="2024-05-10"/>
    <x v="3"/>
    <x v="3"/>
    <x v="0"/>
    <x v="5"/>
    <x v="5"/>
    <x v="3"/>
    <x v="0"/>
    <n v="47"/>
    <x v="13"/>
    <n v="35820"/>
    <x v="436"/>
    <x v="437"/>
  </r>
  <r>
    <s v="ORD0441"/>
    <s v="2024-09-03"/>
    <x v="2"/>
    <x v="3"/>
    <x v="1"/>
    <x v="1"/>
    <x v="1"/>
    <x v="1"/>
    <x v="4"/>
    <n v="45"/>
    <x v="6"/>
    <n v="4689"/>
    <x v="437"/>
    <x v="438"/>
  </r>
  <r>
    <s v="ORD0442"/>
    <s v="2024-04-21"/>
    <x v="1"/>
    <x v="0"/>
    <x v="0"/>
    <x v="5"/>
    <x v="5"/>
    <x v="0"/>
    <x v="1"/>
    <n v="46"/>
    <x v="16"/>
    <n v="183400"/>
    <x v="438"/>
    <x v="439"/>
  </r>
  <r>
    <s v="ORD0443"/>
    <s v="2024-11-01"/>
    <x v="1"/>
    <x v="2"/>
    <x v="1"/>
    <x v="1"/>
    <x v="1"/>
    <x v="1"/>
    <x v="3"/>
    <n v="8"/>
    <x v="5"/>
    <n v="2469"/>
    <x v="439"/>
    <x v="440"/>
  </r>
  <r>
    <s v="ORD0444"/>
    <s v="2024-11-12"/>
    <x v="0"/>
    <x v="1"/>
    <x v="2"/>
    <x v="4"/>
    <x v="4"/>
    <x v="4"/>
    <x v="0"/>
    <n v="1"/>
    <x v="14"/>
    <n v="880"/>
    <x v="440"/>
    <x v="441"/>
  </r>
  <r>
    <s v="ORD0445"/>
    <s v="2024-11-15"/>
    <x v="4"/>
    <x v="0"/>
    <x v="2"/>
    <x v="4"/>
    <x v="4"/>
    <x v="4"/>
    <x v="4"/>
    <n v="34"/>
    <x v="11"/>
    <n v="4449"/>
    <x v="441"/>
    <x v="442"/>
  </r>
  <r>
    <s v="ORD0446"/>
    <s v="2024-08-15"/>
    <x v="3"/>
    <x v="2"/>
    <x v="1"/>
    <x v="1"/>
    <x v="1"/>
    <x v="1"/>
    <x v="0"/>
    <n v="31"/>
    <x v="7"/>
    <n v="3995"/>
    <x v="442"/>
    <x v="443"/>
  </r>
  <r>
    <s v="ORD0447"/>
    <s v="2024-06-04"/>
    <x v="5"/>
    <x v="2"/>
    <x v="1"/>
    <x v="1"/>
    <x v="1"/>
    <x v="1"/>
    <x v="4"/>
    <n v="34"/>
    <x v="13"/>
    <n v="3099"/>
    <x v="443"/>
    <x v="444"/>
  </r>
  <r>
    <s v="ORD0448"/>
    <s v="2024-04-18"/>
    <x v="2"/>
    <x v="0"/>
    <x v="0"/>
    <x v="0"/>
    <x v="0"/>
    <x v="3"/>
    <x v="3"/>
    <n v="99"/>
    <x v="19"/>
    <n v="489800"/>
    <x v="444"/>
    <x v="445"/>
  </r>
  <r>
    <s v="ORD0449"/>
    <s v="2024-04-24"/>
    <x v="4"/>
    <x v="1"/>
    <x v="1"/>
    <x v="3"/>
    <x v="3"/>
    <x v="1"/>
    <x v="3"/>
    <n v="26"/>
    <x v="12"/>
    <n v="19200"/>
    <x v="445"/>
    <x v="446"/>
  </r>
  <r>
    <s v="ORD0450"/>
    <s v="2024-11-17"/>
    <x v="2"/>
    <x v="3"/>
    <x v="0"/>
    <x v="6"/>
    <x v="6"/>
    <x v="0"/>
    <x v="4"/>
    <n v="24"/>
    <x v="18"/>
    <n v="146400"/>
    <x v="446"/>
    <x v="447"/>
  </r>
  <r>
    <s v="ORD0451"/>
    <s v="2024-12-30"/>
    <x v="4"/>
    <x v="2"/>
    <x v="1"/>
    <x v="1"/>
    <x v="1"/>
    <x v="1"/>
    <x v="1"/>
    <n v="95"/>
    <x v="8"/>
    <n v="3145"/>
    <x v="447"/>
    <x v="448"/>
  </r>
  <r>
    <s v="ORD0452"/>
    <s v="2024-05-02"/>
    <x v="4"/>
    <x v="0"/>
    <x v="0"/>
    <x v="6"/>
    <x v="6"/>
    <x v="0"/>
    <x v="0"/>
    <n v="68"/>
    <x v="2"/>
    <n v="143640"/>
    <x v="448"/>
    <x v="449"/>
  </r>
  <r>
    <s v="ORD0453"/>
    <s v="2024-12-09"/>
    <x v="3"/>
    <x v="1"/>
    <x v="1"/>
    <x v="3"/>
    <x v="3"/>
    <x v="1"/>
    <x v="0"/>
    <n v="32"/>
    <x v="18"/>
    <n v="41020"/>
    <x v="449"/>
    <x v="450"/>
  </r>
  <r>
    <s v="ORD0454"/>
    <s v="2024-11-18"/>
    <x v="3"/>
    <x v="0"/>
    <x v="2"/>
    <x v="2"/>
    <x v="2"/>
    <x v="2"/>
    <x v="1"/>
    <n v="3"/>
    <x v="5"/>
    <n v="1000"/>
    <x v="450"/>
    <x v="451"/>
  </r>
  <r>
    <s v="ORD0455"/>
    <s v="2024-08-04"/>
    <x v="2"/>
    <x v="1"/>
    <x v="1"/>
    <x v="1"/>
    <x v="1"/>
    <x v="1"/>
    <x v="0"/>
    <n v="43"/>
    <x v="7"/>
    <n v="4823"/>
    <x v="451"/>
    <x v="452"/>
  </r>
  <r>
    <s v="ORD0456"/>
    <s v="2024-02-02"/>
    <x v="0"/>
    <x v="2"/>
    <x v="1"/>
    <x v="3"/>
    <x v="3"/>
    <x v="1"/>
    <x v="0"/>
    <n v="11"/>
    <x v="8"/>
    <n v="32800"/>
    <x v="452"/>
    <x v="453"/>
  </r>
  <r>
    <s v="ORD0457"/>
    <s v="2024-03-14"/>
    <x v="5"/>
    <x v="1"/>
    <x v="0"/>
    <x v="5"/>
    <x v="5"/>
    <x v="0"/>
    <x v="3"/>
    <n v="43"/>
    <x v="11"/>
    <n v="39500"/>
    <x v="453"/>
    <x v="454"/>
  </r>
  <r>
    <s v="ORD0458"/>
    <s v="2024-06-30"/>
    <x v="1"/>
    <x v="1"/>
    <x v="0"/>
    <x v="5"/>
    <x v="5"/>
    <x v="0"/>
    <x v="0"/>
    <n v="77"/>
    <x v="8"/>
    <n v="38840"/>
    <x v="454"/>
    <x v="455"/>
  </r>
  <r>
    <s v="ORD0459"/>
    <s v="2024-09-17"/>
    <x v="4"/>
    <x v="1"/>
    <x v="1"/>
    <x v="1"/>
    <x v="1"/>
    <x v="1"/>
    <x v="0"/>
    <n v="33"/>
    <x v="3"/>
    <n v="2447"/>
    <x v="455"/>
    <x v="456"/>
  </r>
  <r>
    <s v="ORD0460"/>
    <s v="2024-03-31"/>
    <x v="5"/>
    <x v="2"/>
    <x v="1"/>
    <x v="3"/>
    <x v="3"/>
    <x v="1"/>
    <x v="1"/>
    <n v="59"/>
    <x v="3"/>
    <n v="24960"/>
    <x v="456"/>
    <x v="457"/>
  </r>
  <r>
    <s v="ORD0461"/>
    <s v="2024-06-24"/>
    <x v="4"/>
    <x v="1"/>
    <x v="0"/>
    <x v="0"/>
    <x v="0"/>
    <x v="0"/>
    <x v="0"/>
    <n v="54"/>
    <x v="4"/>
    <n v="233366"/>
    <x v="457"/>
    <x v="458"/>
  </r>
  <r>
    <s v="ORD0462"/>
    <s v="2024-12-25"/>
    <x v="3"/>
    <x v="3"/>
    <x v="1"/>
    <x v="3"/>
    <x v="3"/>
    <x v="1"/>
    <x v="2"/>
    <n v="65"/>
    <x v="3"/>
    <n v="18390"/>
    <x v="458"/>
    <x v="459"/>
  </r>
  <r>
    <s v="ORD0463"/>
    <s v="2024-10-08"/>
    <x v="2"/>
    <x v="3"/>
    <x v="0"/>
    <x v="6"/>
    <x v="6"/>
    <x v="0"/>
    <x v="4"/>
    <n v="18"/>
    <x v="4"/>
    <n v="149870"/>
    <x v="459"/>
    <x v="460"/>
  </r>
  <r>
    <s v="ORD0464"/>
    <s v="2024-02-25"/>
    <x v="5"/>
    <x v="1"/>
    <x v="2"/>
    <x v="2"/>
    <x v="2"/>
    <x v="4"/>
    <x v="2"/>
    <n v="73"/>
    <x v="5"/>
    <n v="500"/>
    <x v="460"/>
    <x v="461"/>
  </r>
  <r>
    <s v="ORD0465"/>
    <s v="2024-02-28"/>
    <x v="5"/>
    <x v="0"/>
    <x v="0"/>
    <x v="6"/>
    <x v="6"/>
    <x v="3"/>
    <x v="4"/>
    <n v="49"/>
    <x v="19"/>
    <n v="139030"/>
    <x v="461"/>
    <x v="462"/>
  </r>
  <r>
    <s v="ORD0466"/>
    <s v="2024-06-07"/>
    <x v="4"/>
    <x v="2"/>
    <x v="2"/>
    <x v="4"/>
    <x v="4"/>
    <x v="2"/>
    <x v="2"/>
    <n v="33"/>
    <x v="2"/>
    <n v="2662"/>
    <x v="462"/>
    <x v="463"/>
  </r>
  <r>
    <s v="ORD0467"/>
    <s v="2024-04-15"/>
    <x v="3"/>
    <x v="0"/>
    <x v="0"/>
    <x v="0"/>
    <x v="0"/>
    <x v="3"/>
    <x v="4"/>
    <n v="92"/>
    <x v="2"/>
    <n v="35687"/>
    <x v="463"/>
    <x v="464"/>
  </r>
  <r>
    <s v="ORD0468"/>
    <s v="2024-08-14"/>
    <x v="1"/>
    <x v="1"/>
    <x v="2"/>
    <x v="4"/>
    <x v="4"/>
    <x v="4"/>
    <x v="0"/>
    <n v="53"/>
    <x v="13"/>
    <n v="2358"/>
    <x v="464"/>
    <x v="465"/>
  </r>
  <r>
    <s v="ORD0469"/>
    <s v="2024-06-11"/>
    <x v="1"/>
    <x v="3"/>
    <x v="2"/>
    <x v="4"/>
    <x v="4"/>
    <x v="2"/>
    <x v="3"/>
    <n v="14"/>
    <x v="11"/>
    <n v="800"/>
    <x v="465"/>
    <x v="466"/>
  </r>
  <r>
    <s v="ORD0470"/>
    <s v="2024-06-16"/>
    <x v="3"/>
    <x v="2"/>
    <x v="0"/>
    <x v="0"/>
    <x v="0"/>
    <x v="0"/>
    <x v="1"/>
    <n v="66"/>
    <x v="11"/>
    <n v="471500"/>
    <x v="466"/>
    <x v="467"/>
  </r>
  <r>
    <s v="ORD0471"/>
    <s v="2024-04-15"/>
    <x v="0"/>
    <x v="2"/>
    <x v="0"/>
    <x v="6"/>
    <x v="6"/>
    <x v="0"/>
    <x v="4"/>
    <n v="33"/>
    <x v="11"/>
    <n v="87500"/>
    <x v="467"/>
    <x v="468"/>
  </r>
  <r>
    <s v="ORD0472"/>
    <s v="2024-05-22"/>
    <x v="2"/>
    <x v="2"/>
    <x v="1"/>
    <x v="3"/>
    <x v="3"/>
    <x v="1"/>
    <x v="1"/>
    <n v="83"/>
    <x v="9"/>
    <n v="56660"/>
    <x v="468"/>
    <x v="469"/>
  </r>
  <r>
    <s v="ORD0473"/>
    <s v="2024-07-02"/>
    <x v="0"/>
    <x v="0"/>
    <x v="0"/>
    <x v="0"/>
    <x v="0"/>
    <x v="0"/>
    <x v="3"/>
    <n v="58"/>
    <x v="16"/>
    <n v="211700"/>
    <x v="469"/>
    <x v="470"/>
  </r>
  <r>
    <s v="ORD0474"/>
    <s v="2024-09-19"/>
    <x v="4"/>
    <x v="2"/>
    <x v="1"/>
    <x v="1"/>
    <x v="1"/>
    <x v="1"/>
    <x v="2"/>
    <n v="77"/>
    <x v="15"/>
    <n v="4668"/>
    <x v="470"/>
    <x v="471"/>
  </r>
  <r>
    <s v="ORD0475"/>
    <s v="2024-07-29"/>
    <x v="2"/>
    <x v="3"/>
    <x v="0"/>
    <x v="0"/>
    <x v="0"/>
    <x v="0"/>
    <x v="1"/>
    <n v="1"/>
    <x v="10"/>
    <n v="486100"/>
    <x v="471"/>
    <x v="472"/>
  </r>
  <r>
    <s v="ORD0476"/>
    <s v="2024-06-29"/>
    <x v="1"/>
    <x v="2"/>
    <x v="2"/>
    <x v="2"/>
    <x v="2"/>
    <x v="4"/>
    <x v="2"/>
    <n v="76"/>
    <x v="0"/>
    <n v="600"/>
    <x v="465"/>
    <x v="466"/>
  </r>
  <r>
    <s v="ORD0477"/>
    <s v="2024-07-30"/>
    <x v="1"/>
    <x v="3"/>
    <x v="0"/>
    <x v="0"/>
    <x v="0"/>
    <x v="0"/>
    <x v="1"/>
    <n v="90"/>
    <x v="18"/>
    <n v="430100"/>
    <x v="472"/>
    <x v="473"/>
  </r>
  <r>
    <s v="ORD0478"/>
    <s v="2024-01-09"/>
    <x v="4"/>
    <x v="0"/>
    <x v="0"/>
    <x v="0"/>
    <x v="0"/>
    <x v="0"/>
    <x v="2"/>
    <n v="75"/>
    <x v="18"/>
    <n v="221100"/>
    <x v="473"/>
    <x v="474"/>
  </r>
  <r>
    <s v="ORD0479"/>
    <s v="2024-06-04"/>
    <x v="3"/>
    <x v="3"/>
    <x v="1"/>
    <x v="1"/>
    <x v="1"/>
    <x v="1"/>
    <x v="2"/>
    <n v="55"/>
    <x v="12"/>
    <n v="3639"/>
    <x v="474"/>
    <x v="475"/>
  </r>
  <r>
    <s v="ORD0480"/>
    <s v="2024-08-04"/>
    <x v="2"/>
    <x v="3"/>
    <x v="0"/>
    <x v="0"/>
    <x v="0"/>
    <x v="0"/>
    <x v="4"/>
    <n v="41"/>
    <x v="18"/>
    <n v="233355"/>
    <x v="475"/>
    <x v="476"/>
  </r>
  <r>
    <s v="ORD0481"/>
    <s v="2024-10-31"/>
    <x v="5"/>
    <x v="2"/>
    <x v="0"/>
    <x v="0"/>
    <x v="0"/>
    <x v="0"/>
    <x v="0"/>
    <n v="13"/>
    <x v="9"/>
    <n v="262705"/>
    <x v="476"/>
    <x v="477"/>
  </r>
  <r>
    <s v="ORD0482"/>
    <s v="2024-05-17"/>
    <x v="4"/>
    <x v="3"/>
    <x v="1"/>
    <x v="3"/>
    <x v="3"/>
    <x v="1"/>
    <x v="3"/>
    <n v="51"/>
    <x v="14"/>
    <n v="22340"/>
    <x v="477"/>
    <x v="478"/>
  </r>
  <r>
    <s v="ORD0483"/>
    <s v="2024-05-23"/>
    <x v="1"/>
    <x v="1"/>
    <x v="1"/>
    <x v="1"/>
    <x v="1"/>
    <x v="1"/>
    <x v="2"/>
    <n v="65"/>
    <x v="12"/>
    <n v="1700"/>
    <x v="478"/>
    <x v="479"/>
  </r>
  <r>
    <s v="ORD0484"/>
    <s v="2024-08-20"/>
    <x v="4"/>
    <x v="2"/>
    <x v="2"/>
    <x v="4"/>
    <x v="4"/>
    <x v="2"/>
    <x v="3"/>
    <n v="12"/>
    <x v="4"/>
    <n v="1313"/>
    <x v="479"/>
    <x v="480"/>
  </r>
  <r>
    <s v="ORD0485"/>
    <s v="2024-07-08"/>
    <x v="0"/>
    <x v="0"/>
    <x v="1"/>
    <x v="3"/>
    <x v="3"/>
    <x v="1"/>
    <x v="2"/>
    <n v="72"/>
    <x v="8"/>
    <n v="40140"/>
    <x v="480"/>
    <x v="481"/>
  </r>
  <r>
    <s v="ORD0486"/>
    <s v="2024-12-08"/>
    <x v="3"/>
    <x v="2"/>
    <x v="0"/>
    <x v="0"/>
    <x v="0"/>
    <x v="0"/>
    <x v="4"/>
    <n v="91"/>
    <x v="17"/>
    <n v="242105"/>
    <x v="481"/>
    <x v="482"/>
  </r>
  <r>
    <s v="ORD0487"/>
    <s v="2024-01-19"/>
    <x v="0"/>
    <x v="2"/>
    <x v="2"/>
    <x v="4"/>
    <x v="4"/>
    <x v="4"/>
    <x v="4"/>
    <n v="99"/>
    <x v="3"/>
    <n v="1875"/>
    <x v="482"/>
    <x v="483"/>
  </r>
  <r>
    <s v="ORD0488"/>
    <s v="2024-11-22"/>
    <x v="5"/>
    <x v="1"/>
    <x v="0"/>
    <x v="0"/>
    <x v="0"/>
    <x v="0"/>
    <x v="3"/>
    <n v="89"/>
    <x v="16"/>
    <n v="321930"/>
    <x v="483"/>
    <x v="484"/>
  </r>
  <r>
    <s v="ORD0489"/>
    <s v="2024-11-02"/>
    <x v="1"/>
    <x v="3"/>
    <x v="0"/>
    <x v="5"/>
    <x v="5"/>
    <x v="3"/>
    <x v="4"/>
    <n v="18"/>
    <x v="3"/>
    <n v="227000"/>
    <x v="484"/>
    <x v="485"/>
  </r>
  <r>
    <s v="ORD0490"/>
    <s v="2024-03-22"/>
    <x v="3"/>
    <x v="1"/>
    <x v="1"/>
    <x v="3"/>
    <x v="3"/>
    <x v="1"/>
    <x v="3"/>
    <n v="6"/>
    <x v="12"/>
    <n v="34080"/>
    <x v="485"/>
    <x v="486"/>
  </r>
  <r>
    <s v="ORD0491"/>
    <s v="2024-06-01"/>
    <x v="1"/>
    <x v="3"/>
    <x v="1"/>
    <x v="1"/>
    <x v="1"/>
    <x v="1"/>
    <x v="4"/>
    <n v="7"/>
    <x v="17"/>
    <n v="2350"/>
    <x v="486"/>
    <x v="487"/>
  </r>
  <r>
    <s v="ORD0492"/>
    <s v="2024-10-26"/>
    <x v="0"/>
    <x v="2"/>
    <x v="0"/>
    <x v="0"/>
    <x v="0"/>
    <x v="0"/>
    <x v="2"/>
    <n v="35"/>
    <x v="8"/>
    <n v="357600"/>
    <x v="487"/>
    <x v="488"/>
  </r>
  <r>
    <s v="ORD0493"/>
    <s v="2024-04-14"/>
    <x v="2"/>
    <x v="3"/>
    <x v="0"/>
    <x v="0"/>
    <x v="0"/>
    <x v="3"/>
    <x v="3"/>
    <n v="63"/>
    <x v="17"/>
    <n v="494700"/>
    <x v="488"/>
    <x v="489"/>
  </r>
  <r>
    <s v="ORD0494"/>
    <s v="2024-02-24"/>
    <x v="3"/>
    <x v="1"/>
    <x v="0"/>
    <x v="0"/>
    <x v="0"/>
    <x v="3"/>
    <x v="1"/>
    <n v="51"/>
    <x v="5"/>
    <n v="26950"/>
    <x v="489"/>
    <x v="490"/>
  </r>
  <r>
    <s v="ORD0495"/>
    <s v="2024-12-06"/>
    <x v="0"/>
    <x v="1"/>
    <x v="2"/>
    <x v="4"/>
    <x v="4"/>
    <x v="4"/>
    <x v="4"/>
    <n v="93"/>
    <x v="5"/>
    <n v="3788"/>
    <x v="490"/>
    <x v="491"/>
  </r>
  <r>
    <s v="ORD0496"/>
    <s v="2024-05-30"/>
    <x v="3"/>
    <x v="3"/>
    <x v="1"/>
    <x v="1"/>
    <x v="1"/>
    <x v="1"/>
    <x v="1"/>
    <n v="91"/>
    <x v="0"/>
    <n v="1227"/>
    <x v="491"/>
    <x v="492"/>
  </r>
  <r>
    <s v="ORD0497"/>
    <s v="2024-09-27"/>
    <x v="1"/>
    <x v="0"/>
    <x v="0"/>
    <x v="5"/>
    <x v="5"/>
    <x v="3"/>
    <x v="1"/>
    <n v="80"/>
    <x v="3"/>
    <n v="309600"/>
    <x v="492"/>
    <x v="493"/>
  </r>
  <r>
    <s v="ORD0498"/>
    <s v="2024-01-30"/>
    <x v="0"/>
    <x v="0"/>
    <x v="0"/>
    <x v="5"/>
    <x v="5"/>
    <x v="3"/>
    <x v="3"/>
    <n v="22"/>
    <x v="5"/>
    <n v="142200"/>
    <x v="493"/>
    <x v="494"/>
  </r>
  <r>
    <s v="ORD0499"/>
    <s v="2024-10-26"/>
    <x v="4"/>
    <x v="1"/>
    <x v="1"/>
    <x v="1"/>
    <x v="1"/>
    <x v="1"/>
    <x v="1"/>
    <n v="63"/>
    <x v="11"/>
    <n v="3648"/>
    <x v="494"/>
    <x v="495"/>
  </r>
  <r>
    <s v="ORD0500"/>
    <s v="2024-11-11"/>
    <x v="3"/>
    <x v="3"/>
    <x v="0"/>
    <x v="0"/>
    <x v="0"/>
    <x v="3"/>
    <x v="4"/>
    <n v="76"/>
    <x v="5"/>
    <n v="478300"/>
    <x v="495"/>
    <x v="4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ORD0001"/>
    <s v="2024-10-26"/>
    <x v="0"/>
    <s v="Neha Gupta"/>
    <s v="South"/>
    <s v="Electronics"/>
    <s v="Laptop"/>
    <s v="Laptop Dell"/>
    <s v="Croma"/>
    <s v="Delhi"/>
    <n v="76"/>
    <n v="8"/>
    <n v="58000"/>
    <n v="566080"/>
    <n v="0.18032786885245902"/>
    <n v="102080"/>
  </r>
  <r>
    <s v="ORD0002"/>
    <s v="2024-04-10"/>
    <x v="1"/>
    <s v="Neha Gupta"/>
    <s v="South"/>
    <s v="Electronics"/>
    <s v="Laptop"/>
    <s v="Laptop Dell"/>
    <s v="Croma"/>
    <s v="Kolkata"/>
    <n v="31"/>
    <n v="16"/>
    <n v="78500"/>
    <n v="1532320"/>
    <n v="0.18032786885245902"/>
    <n v="276320"/>
  </r>
  <r>
    <s v="ORD0003"/>
    <s v="2024-05-11"/>
    <x v="2"/>
    <s v="Rahul Verma"/>
    <s v="South"/>
    <s v="Furniture"/>
    <s v="Chair"/>
    <s v="Office Chair"/>
    <s v="IKEA"/>
    <s v="Bangalore"/>
    <n v="84"/>
    <n v="19"/>
    <n v="4917"/>
    <n v="111173.37"/>
    <n v="0.15966386554621845"/>
    <n v="17750.369999999995"/>
  </r>
  <r>
    <s v="ORD0004"/>
    <s v="2024-04-03"/>
    <x v="1"/>
    <s v="Rahul Verma"/>
    <s v="East"/>
    <s v="Clothing"/>
    <s v="Men Wear"/>
    <s v="T-shirt"/>
    <s v="Pantaloons"/>
    <s v="Delhi"/>
    <n v="86"/>
    <n v="8"/>
    <n v="2994"/>
    <n v="27544.799999999999"/>
    <n v="0.13043478260869562"/>
    <n v="3592.7999999999993"/>
  </r>
  <r>
    <s v="ORD0005"/>
    <s v="2024-09-06"/>
    <x v="3"/>
    <s v="Amit Sharma"/>
    <s v="East"/>
    <s v="Furniture"/>
    <s v="Table"/>
    <s v="Wooden Table"/>
    <s v="IKEA"/>
    <s v="Hyderabad"/>
    <n v="75"/>
    <n v="10"/>
    <n v="30820"/>
    <n v="366758"/>
    <n v="0.15966386554621848"/>
    <n v="58558"/>
  </r>
  <r>
    <s v="ORD0006"/>
    <s v="2024-09-05"/>
    <x v="3"/>
    <s v="Rohit Das"/>
    <s v="South"/>
    <s v="Furniture"/>
    <s v="Table"/>
    <s v="Wooden Table"/>
    <s v="IKEA"/>
    <s v="Bangalore"/>
    <n v="90"/>
    <n v="2"/>
    <n v="27560"/>
    <n v="65592.800000000003"/>
    <n v="0.15966386554621853"/>
    <n v="10472.800000000003"/>
  </r>
  <r>
    <s v="ORD0007"/>
    <s v="2024-07-06"/>
    <x v="4"/>
    <s v="Anjali Mehta"/>
    <s v="South"/>
    <s v="Furniture"/>
    <s v="Chair"/>
    <s v="Office Chair"/>
    <s v="IKEA"/>
    <s v="Hyderabad"/>
    <n v="73"/>
    <n v="16"/>
    <n v="1291"/>
    <n v="24580.639999999999"/>
    <n v="0.15966386554621848"/>
    <n v="3924.6399999999994"/>
  </r>
  <r>
    <s v="ORD0008"/>
    <s v="2024-08-17"/>
    <x v="5"/>
    <s v="Priya Singh"/>
    <s v="North"/>
    <s v="Clothing"/>
    <s v="Women Wear"/>
    <s v="Jeans"/>
    <s v="Pantaloons"/>
    <s v="Bangalore"/>
    <n v="15"/>
    <n v="2"/>
    <n v="1108"/>
    <n v="2548.4"/>
    <n v="0.13043478260869568"/>
    <n v="332.40000000000009"/>
  </r>
  <r>
    <s v="ORD0009"/>
    <s v="2024-10-15"/>
    <x v="0"/>
    <s v="Neha Gupta"/>
    <s v="West"/>
    <s v="Furniture"/>
    <s v="Table"/>
    <s v="Wooden Table"/>
    <s v="IKEA"/>
    <s v="Kolkata"/>
    <n v="60"/>
    <n v="4"/>
    <n v="11570"/>
    <n v="55073.2"/>
    <n v="0.15966386554621845"/>
    <n v="8793.1999999999971"/>
  </r>
  <r>
    <s v="ORD0010"/>
    <s v="2024-11-24"/>
    <x v="6"/>
    <s v="Neha Gupta"/>
    <s v="South"/>
    <s v="Furniture"/>
    <s v="Table"/>
    <s v="Wooden Table"/>
    <s v="IKEA"/>
    <s v="Delhi"/>
    <n v="64"/>
    <n v="2"/>
    <n v="15670"/>
    <n v="37294.6"/>
    <n v="0.15966386554621845"/>
    <n v="5954.5999999999985"/>
  </r>
  <r>
    <s v="ORD0011"/>
    <s v="2024-06-02"/>
    <x v="7"/>
    <s v="Rohit Das"/>
    <s v="East"/>
    <s v="Furniture"/>
    <s v="Table"/>
    <s v="Wooden Table"/>
    <s v="IKEA"/>
    <s v="Bangalore"/>
    <n v="28"/>
    <n v="1"/>
    <n v="45570"/>
    <n v="54228.3"/>
    <n v="0.15966386554621853"/>
    <n v="8658.3000000000029"/>
  </r>
  <r>
    <s v="ORD0012"/>
    <s v="2024-08-13"/>
    <x v="5"/>
    <s v="Anjali Mehta"/>
    <s v="South"/>
    <s v="Clothing"/>
    <s v="Women Wear"/>
    <s v="Jeans"/>
    <s v="Pantaloons"/>
    <s v="Hyderabad"/>
    <n v="82"/>
    <n v="12"/>
    <n v="1873"/>
    <n v="25847.4"/>
    <n v="0.1304347826086957"/>
    <n v="3371.4000000000015"/>
  </r>
  <r>
    <s v="ORD0013"/>
    <s v="2024-06-28"/>
    <x v="7"/>
    <s v="Rahul Verma"/>
    <s v="East"/>
    <s v="Electronics"/>
    <s v="Accessories"/>
    <s v="Samsung TV"/>
    <s v="Reliance Digital"/>
    <s v="Hyderabad"/>
    <n v="10"/>
    <n v="10"/>
    <n v="48980"/>
    <n v="597556"/>
    <n v="0.18032786885245902"/>
    <n v="107756"/>
  </r>
  <r>
    <s v="ORD0014"/>
    <s v="2024-06-15"/>
    <x v="7"/>
    <s v="Anjali Mehta"/>
    <s v="East"/>
    <s v="Furniture"/>
    <s v="Chair"/>
    <s v="Office Chair"/>
    <s v="IKEA"/>
    <s v="Kolkata"/>
    <n v="66"/>
    <n v="7"/>
    <n v="2808"/>
    <n v="23390.639999999999"/>
    <n v="0.15966386554621848"/>
    <n v="3734.6399999999994"/>
  </r>
  <r>
    <s v="ORD0015"/>
    <s v="2024-01-06"/>
    <x v="8"/>
    <s v="Anjali Mehta"/>
    <s v="North"/>
    <s v="Electronics"/>
    <s v="Laptop"/>
    <s v="Laptop Dell"/>
    <s v="Croma"/>
    <s v="Delhi"/>
    <n v="21"/>
    <n v="8"/>
    <n v="33580"/>
    <n v="327740.79999999999"/>
    <n v="0.18032786885245899"/>
    <n v="59100.799999999988"/>
  </r>
  <r>
    <s v="ORD0016"/>
    <s v="2024-05-20"/>
    <x v="2"/>
    <s v="Anjali Mehta"/>
    <s v="West"/>
    <s v="Furniture"/>
    <s v="Table"/>
    <s v="Wooden Table"/>
    <s v="IKEA"/>
    <s v="Delhi"/>
    <n v="45"/>
    <n v="5"/>
    <n v="31580"/>
    <n v="187901"/>
    <n v="0.15966386554621848"/>
    <n v="30001"/>
  </r>
  <r>
    <s v="ORD0017"/>
    <s v="2024-07-05"/>
    <x v="4"/>
    <s v="Rohit Das"/>
    <s v="South"/>
    <s v="Electronics"/>
    <s v="Accessories"/>
    <s v="Samsung TV"/>
    <s v="Reliance Digital"/>
    <s v="Kolkata"/>
    <n v="88"/>
    <n v="9"/>
    <n v="33800"/>
    <n v="371124"/>
    <n v="0.18032786885245902"/>
    <n v="66924"/>
  </r>
  <r>
    <s v="ORD0018"/>
    <s v="2024-02-11"/>
    <x v="9"/>
    <s v="Rohit Das"/>
    <s v="North"/>
    <s v="Furniture"/>
    <s v="Table"/>
    <s v="Wooden Table"/>
    <s v="IKEA"/>
    <s v="Delhi"/>
    <n v="92"/>
    <n v="6"/>
    <n v="34150"/>
    <n v="243831"/>
    <n v="0.15966386554621848"/>
    <n v="38931"/>
  </r>
  <r>
    <s v="ORD0019"/>
    <s v="2024-01-07"/>
    <x v="8"/>
    <s v="Anjali Mehta"/>
    <s v="North"/>
    <s v="Clothing"/>
    <s v="Women Wear"/>
    <s v="Jeans"/>
    <s v="Pantaloons"/>
    <s v="Delhi"/>
    <n v="26"/>
    <n v="4"/>
    <n v="4572"/>
    <n v="21031.200000000001"/>
    <n v="0.13043478260869568"/>
    <n v="2743.2000000000007"/>
  </r>
  <r>
    <s v="ORD0020"/>
    <s v="2024-02-04"/>
    <x v="9"/>
    <s v="Rohit Das"/>
    <s v="East"/>
    <s v="Electronics"/>
    <s v="Accessories"/>
    <s v="Samsung TV"/>
    <s v="Reliance Digital"/>
    <s v="Mumbai"/>
    <n v="47"/>
    <n v="14"/>
    <n v="46400"/>
    <n v="792512"/>
    <n v="0.18032786885245902"/>
    <n v="142912"/>
  </r>
  <r>
    <s v="ORD0021"/>
    <s v="2024-11-09"/>
    <x v="6"/>
    <s v="Amit Sharma"/>
    <s v="North"/>
    <s v="Electronics"/>
    <s v="Accessories"/>
    <s v="Samsung TV"/>
    <s v="Reliance Digital"/>
    <s v="Mumbai"/>
    <n v="55"/>
    <n v="14"/>
    <n v="47900"/>
    <n v="818132"/>
    <n v="0.18032786885245902"/>
    <n v="147532"/>
  </r>
  <r>
    <s v="ORD0022"/>
    <s v="2024-05-28"/>
    <x v="2"/>
    <s v="Anjali Mehta"/>
    <s v="East"/>
    <s v="Electronics"/>
    <s v="Accessories"/>
    <s v="Samsung TV"/>
    <s v="Reliance Digital"/>
    <s v="Mumbai"/>
    <n v="31"/>
    <n v="15"/>
    <n v="89000"/>
    <n v="1628700"/>
    <n v="0.18032786885245902"/>
    <n v="293700"/>
  </r>
  <r>
    <s v="ORD0023"/>
    <s v="2024-06-25"/>
    <x v="7"/>
    <s v="Priya Singh"/>
    <s v="West"/>
    <s v="Electronics"/>
    <s v="Laptop"/>
    <s v="Laptop Dell"/>
    <s v="Reliance Digital"/>
    <s v="Hyderabad"/>
    <n v="56"/>
    <n v="15"/>
    <n v="78900"/>
    <n v="1443870"/>
    <n v="0.18032786885245902"/>
    <n v="260370"/>
  </r>
  <r>
    <s v="ORD0024"/>
    <s v="2024-01-15"/>
    <x v="8"/>
    <s v="Amit Sharma"/>
    <s v="North"/>
    <s v="Furniture"/>
    <s v="Chair"/>
    <s v="Office Chair"/>
    <s v="IKEA"/>
    <s v="Bangalore"/>
    <n v="46"/>
    <n v="18"/>
    <n v="4344"/>
    <n v="93048.48"/>
    <n v="0.15966386554621845"/>
    <n v="14856.479999999996"/>
  </r>
  <r>
    <s v="ORD0025"/>
    <s v="2024-06-21"/>
    <x v="7"/>
    <s v="Priya Singh"/>
    <s v="North"/>
    <s v="Clothing"/>
    <s v="Women Wear"/>
    <s v="Jeans"/>
    <s v="Pantaloons"/>
    <s v="Mumbai"/>
    <n v="35"/>
    <n v="18"/>
    <n v="1400"/>
    <n v="28980"/>
    <n v="0.13043478260869565"/>
    <n v="3780"/>
  </r>
  <r>
    <s v="ORD0026"/>
    <s v="2024-07-24"/>
    <x v="4"/>
    <s v="Priya Singh"/>
    <s v="South"/>
    <s v="Furniture"/>
    <s v="Table"/>
    <s v="Wooden Table"/>
    <s v="IKEA"/>
    <s v="Delhi"/>
    <n v="82"/>
    <n v="5"/>
    <n v="34840"/>
    <n v="207298"/>
    <n v="0.15966386554621848"/>
    <n v="33098"/>
  </r>
  <r>
    <s v="ORD0027"/>
    <s v="2024-07-15"/>
    <x v="4"/>
    <s v="Anjali Mehta"/>
    <s v="North"/>
    <s v="Electronics"/>
    <s v="Laptop"/>
    <s v="Laptop Dell"/>
    <s v="Reliance Digital"/>
    <s v="Delhi"/>
    <n v="35"/>
    <n v="13"/>
    <n v="98700"/>
    <n v="1565382"/>
    <n v="0.18032786885245902"/>
    <n v="282282"/>
  </r>
  <r>
    <s v="ORD0028"/>
    <s v="2024-07-10"/>
    <x v="4"/>
    <s v="Amit Sharma"/>
    <s v="East"/>
    <s v="Furniture"/>
    <s v="Table"/>
    <s v="Wooden Table"/>
    <s v="IKEA"/>
    <s v="Bangalore"/>
    <n v="30"/>
    <n v="12"/>
    <n v="34690"/>
    <n v="495373.2"/>
    <n v="0.1596638655462185"/>
    <n v="79093.200000000012"/>
  </r>
  <r>
    <s v="ORD0029"/>
    <s v="2024-03-02"/>
    <x v="10"/>
    <s v="Rahul Verma"/>
    <s v="West"/>
    <s v="Furniture"/>
    <s v="Table"/>
    <s v="Wooden Table"/>
    <s v="IKEA"/>
    <s v="Delhi"/>
    <n v="69"/>
    <n v="18"/>
    <n v="30400"/>
    <n v="651168"/>
    <n v="0.15966386554621848"/>
    <n v="103968"/>
  </r>
  <r>
    <s v="ORD0030"/>
    <s v="2024-11-02"/>
    <x v="6"/>
    <s v="Neha Gupta"/>
    <s v="North"/>
    <s v="Furniture"/>
    <s v="Chair"/>
    <s v="Office Chair"/>
    <s v="IKEA"/>
    <s v="Hyderabad"/>
    <n v="60"/>
    <n v="13"/>
    <n v="2755"/>
    <n v="42619.85"/>
    <n v="0.15966386554621845"/>
    <n v="6804.8499999999985"/>
  </r>
  <r>
    <s v="ORD0031"/>
    <s v="2024-03-26"/>
    <x v="10"/>
    <s v="Anjali Mehta"/>
    <s v="East"/>
    <s v="Electronics"/>
    <s v="Accessories"/>
    <s v="Samsung TV"/>
    <s v="Croma"/>
    <s v="Bangalore"/>
    <n v="34"/>
    <n v="12"/>
    <n v="44790"/>
    <n v="655725.6"/>
    <n v="0.18032786885245899"/>
    <n v="118245.59999999998"/>
  </r>
  <r>
    <s v="ORD0032"/>
    <s v="2024-09-24"/>
    <x v="3"/>
    <s v="Anjali Mehta"/>
    <s v="East"/>
    <s v="Electronics"/>
    <s v="Laptop"/>
    <s v="Laptop Dell"/>
    <s v="Reliance Digital"/>
    <s v="Mumbai"/>
    <n v="21"/>
    <n v="6"/>
    <n v="38430"/>
    <n v="281307.59999999998"/>
    <n v="0.18032786885245894"/>
    <n v="50727.599999999977"/>
  </r>
  <r>
    <s v="ORD0033"/>
    <s v="2024-12-14"/>
    <x v="11"/>
    <s v="Amit Sharma"/>
    <s v="East"/>
    <s v="Furniture"/>
    <s v="Chair"/>
    <s v="Office Chair"/>
    <s v="IKEA"/>
    <s v="Delhi"/>
    <n v="40"/>
    <n v="15"/>
    <n v="3827"/>
    <n v="68311.95"/>
    <n v="0.15966386554621845"/>
    <n v="10906.949999999997"/>
  </r>
  <r>
    <s v="ORD0034"/>
    <s v="2024-03-08"/>
    <x v="10"/>
    <s v="Priya Singh"/>
    <s v="South"/>
    <s v="Electronics"/>
    <s v="Laptop"/>
    <s v="Laptop Dell"/>
    <s v="Reliance Digital"/>
    <s v="Hyderabad"/>
    <n v="100"/>
    <n v="14"/>
    <n v="258900"/>
    <n v="4422012"/>
    <n v="0.18032786885245902"/>
    <n v="797412"/>
  </r>
  <r>
    <s v="ORD0035"/>
    <s v="2024-11-13"/>
    <x v="6"/>
    <s v="Rohit Das"/>
    <s v="West"/>
    <s v="Electronics"/>
    <s v="Mobile"/>
    <s v="iPhone"/>
    <s v="Reliance Digital"/>
    <s v="Bangalore"/>
    <n v="55"/>
    <n v="1"/>
    <n v="417600"/>
    <n v="509472"/>
    <n v="0.18032786885245902"/>
    <n v="91872"/>
  </r>
  <r>
    <s v="ORD0036"/>
    <s v="2024-09-15"/>
    <x v="3"/>
    <s v="Neha Gupta"/>
    <s v="East"/>
    <s v="Electronics"/>
    <s v="Accessories"/>
    <s v="Samsung TV"/>
    <s v="Croma"/>
    <s v="Mumbai"/>
    <n v="59"/>
    <n v="19"/>
    <n v="175200"/>
    <n v="4061136"/>
    <n v="0.18032786885245902"/>
    <n v="732336"/>
  </r>
  <r>
    <s v="ORD0037"/>
    <s v="2024-01-02"/>
    <x v="8"/>
    <s v="Neha Gupta"/>
    <s v="South"/>
    <s v="Electronics"/>
    <s v="Laptop"/>
    <s v="Laptop Dell"/>
    <s v="Croma"/>
    <s v="Delhi"/>
    <n v="98"/>
    <n v="16"/>
    <n v="45860"/>
    <n v="895187.2"/>
    <n v="0.18032786885245897"/>
    <n v="161427.19999999995"/>
  </r>
  <r>
    <s v="ORD0038"/>
    <s v="2024-09-21"/>
    <x v="3"/>
    <s v="Neha Gupta"/>
    <s v="South"/>
    <s v="Clothing"/>
    <s v="Men Wear"/>
    <s v="T-shirt"/>
    <s v="Pantaloons"/>
    <s v="Hyderabad"/>
    <n v="34"/>
    <n v="1"/>
    <n v="1170"/>
    <n v="1345.5"/>
    <n v="0.13043478260869565"/>
    <n v="175.5"/>
  </r>
  <r>
    <s v="ORD0039"/>
    <s v="2024-11-14"/>
    <x v="6"/>
    <s v="Rahul Verma"/>
    <s v="North"/>
    <s v="Furniture"/>
    <s v="Chair"/>
    <s v="Office Chair"/>
    <s v="IKEA"/>
    <s v="Delhi"/>
    <n v="18"/>
    <n v="16"/>
    <n v="3433"/>
    <n v="65364.32"/>
    <n v="0.15966386554621848"/>
    <n v="10436.32"/>
  </r>
  <r>
    <s v="ORD0040"/>
    <s v="2024-05-16"/>
    <x v="2"/>
    <s v="Rohit Das"/>
    <s v="West"/>
    <s v="Clothing"/>
    <s v="Women Wear"/>
    <s v="Jeans"/>
    <s v="Pantaloons"/>
    <s v="Kolkata"/>
    <n v="40"/>
    <n v="18"/>
    <n v="1300"/>
    <n v="26910"/>
    <n v="0.13043478260869565"/>
    <n v="3510"/>
  </r>
  <r>
    <s v="ORD0041"/>
    <s v="2024-11-21"/>
    <x v="6"/>
    <s v="Rohit Das"/>
    <s v="West"/>
    <s v="Electronics"/>
    <s v="Laptop"/>
    <s v="Laptop Dell"/>
    <s v="Reliance Digital"/>
    <s v="Delhi"/>
    <n v="5"/>
    <n v="15"/>
    <n v="29150"/>
    <n v="533445"/>
    <n v="0.18032786885245902"/>
    <n v="96195"/>
  </r>
  <r>
    <s v="ORD0042"/>
    <s v="2024-04-02"/>
    <x v="1"/>
    <s v="Rohit Das"/>
    <s v="West"/>
    <s v="Electronics"/>
    <s v="Mobile"/>
    <s v="iPhone"/>
    <s v="Reliance Digital"/>
    <s v="Kolkata"/>
    <n v="62"/>
    <n v="2"/>
    <n v="451000"/>
    <n v="1100440"/>
    <n v="0.18032786885245902"/>
    <n v="198440"/>
  </r>
  <r>
    <s v="ORD0043"/>
    <s v="2024-10-18"/>
    <x v="0"/>
    <s v="Amit Sharma"/>
    <s v="East"/>
    <s v="Electronics"/>
    <s v="Laptop"/>
    <s v="Laptop Dell"/>
    <s v="Reliance Digital"/>
    <s v="Bangalore"/>
    <n v="66"/>
    <n v="6"/>
    <n v="358840"/>
    <n v="2626708.7999999998"/>
    <n v="0.18032786885245897"/>
    <n v="473668.79999999981"/>
  </r>
  <r>
    <s v="ORD0044"/>
    <s v="2024-04-22"/>
    <x v="1"/>
    <s v="Amit Sharma"/>
    <s v="North"/>
    <s v="Furniture"/>
    <s v="Chair"/>
    <s v="Office Chair"/>
    <s v="IKEA"/>
    <s v="Delhi"/>
    <n v="21"/>
    <n v="11"/>
    <n v="1105"/>
    <n v="14464.45"/>
    <n v="0.15966386554621853"/>
    <n v="2309.4500000000007"/>
  </r>
  <r>
    <s v="ORD0045"/>
    <s v="2024-08-28"/>
    <x v="5"/>
    <s v="Amit Sharma"/>
    <s v="West"/>
    <s v="Furniture"/>
    <s v="Table"/>
    <s v="Wooden Table"/>
    <s v="IKEA"/>
    <s v="Kolkata"/>
    <n v="61"/>
    <n v="19"/>
    <n v="15720"/>
    <n v="355429.2"/>
    <n v="0.1596638655462185"/>
    <n v="56749.200000000012"/>
  </r>
  <r>
    <s v="ORD0046"/>
    <s v="2024-07-11"/>
    <x v="4"/>
    <s v="Amit Sharma"/>
    <s v="West"/>
    <s v="Electronics"/>
    <s v="Accessories"/>
    <s v="Samsung TV"/>
    <s v="Reliance Digital"/>
    <s v="Hyderabad"/>
    <n v="99"/>
    <n v="8"/>
    <n v="201400"/>
    <n v="1965664"/>
    <n v="0.18032786885245902"/>
    <n v="354464"/>
  </r>
  <r>
    <s v="ORD0047"/>
    <s v="2024-10-28"/>
    <x v="0"/>
    <s v="Rahul Verma"/>
    <s v="East"/>
    <s v="Furniture"/>
    <s v="Table"/>
    <s v="Wooden Table"/>
    <s v="IKEA"/>
    <s v="Hyderabad"/>
    <n v="63"/>
    <n v="4"/>
    <n v="43580"/>
    <n v="207440.8"/>
    <n v="0.15966386554621845"/>
    <n v="33120.799999999988"/>
  </r>
  <r>
    <s v="ORD0048"/>
    <s v="2024-08-06"/>
    <x v="5"/>
    <s v="Rahul Verma"/>
    <s v="East"/>
    <s v="Furniture"/>
    <s v="Table"/>
    <s v="Wooden Table"/>
    <s v="IKEA"/>
    <s v="Bangalore"/>
    <n v="82"/>
    <n v="2"/>
    <n v="17700"/>
    <n v="42126"/>
    <n v="0.15966386554621848"/>
    <n v="6726"/>
  </r>
  <r>
    <s v="ORD0049"/>
    <s v="2024-12-08"/>
    <x v="11"/>
    <s v="Amit Sharma"/>
    <s v="South"/>
    <s v="Clothing"/>
    <s v="Men Wear"/>
    <s v="T-shirt"/>
    <s v="Pantaloons"/>
    <s v="Delhi"/>
    <n v="75"/>
    <n v="3"/>
    <n v="919"/>
    <n v="3170.55"/>
    <n v="0.1304347826086957"/>
    <n v="413.55000000000018"/>
  </r>
  <r>
    <s v="ORD0050"/>
    <s v="2024-05-06"/>
    <x v="2"/>
    <s v="Anjali Mehta"/>
    <s v="South"/>
    <s v="Clothing"/>
    <s v="Women Wear"/>
    <s v="Jeans"/>
    <s v="Pantaloons"/>
    <s v="Delhi"/>
    <n v="63"/>
    <n v="4"/>
    <n v="3295"/>
    <n v="15157"/>
    <n v="0.13043478260869565"/>
    <n v="1977"/>
  </r>
  <r>
    <s v="ORD0051"/>
    <s v="2024-11-19"/>
    <x v="6"/>
    <s v="Rahul Verma"/>
    <s v="South"/>
    <s v="Electronics"/>
    <s v="Laptop"/>
    <s v="Laptop Dell"/>
    <s v="Reliance Digital"/>
    <s v="Delhi"/>
    <n v="8"/>
    <n v="7"/>
    <n v="100256"/>
    <n v="856186.24"/>
    <n v="0.18032786885245899"/>
    <n v="154394.23999999999"/>
  </r>
  <r>
    <s v="ORD0052"/>
    <s v="2024-11-16"/>
    <x v="6"/>
    <s v="Rohit Das"/>
    <s v="East"/>
    <s v="Furniture"/>
    <s v="Chair"/>
    <s v="Office Chair"/>
    <s v="IKEA"/>
    <s v="Mumbai"/>
    <n v="26"/>
    <n v="1"/>
    <n v="1515"/>
    <n v="1802.85"/>
    <n v="0.15966386554621845"/>
    <n v="287.84999999999991"/>
  </r>
  <r>
    <s v="ORD0053"/>
    <s v="2024-02-26"/>
    <x v="9"/>
    <s v="Anjali Mehta"/>
    <s v="West"/>
    <s v="Clothing"/>
    <s v="Men Wear"/>
    <s v="T-shirt"/>
    <s v="Big Bazaar"/>
    <s v="Hyderabad"/>
    <n v="92"/>
    <n v="6"/>
    <n v="3903"/>
    <n v="26930.7"/>
    <n v="0.13043478260869568"/>
    <n v="3512.7000000000007"/>
  </r>
  <r>
    <s v="ORD0054"/>
    <s v="2024-05-02"/>
    <x v="2"/>
    <s v="Amit Sharma"/>
    <s v="North"/>
    <s v="Clothing"/>
    <s v="Men Wear"/>
    <s v="T-shirt"/>
    <s v="Pantaloons"/>
    <s v="Kolkata"/>
    <n v="11"/>
    <n v="18"/>
    <n v="2863"/>
    <n v="59264.1"/>
    <n v="0.13043478260869562"/>
    <n v="7730.0999999999985"/>
  </r>
  <r>
    <s v="ORD0055"/>
    <s v="2024-10-09"/>
    <x v="0"/>
    <s v="Rahul Verma"/>
    <s v="West"/>
    <s v="Furniture"/>
    <s v="Table"/>
    <s v="Wooden Table"/>
    <s v="IKEA"/>
    <s v="Hyderabad"/>
    <n v="89"/>
    <n v="17"/>
    <n v="11960"/>
    <n v="241950.8"/>
    <n v="0.15966386554621845"/>
    <n v="38630.799999999988"/>
  </r>
  <r>
    <s v="ORD0056"/>
    <s v="2024-12-17"/>
    <x v="11"/>
    <s v="Priya Singh"/>
    <s v="West"/>
    <s v="Clothing"/>
    <s v="Men Wear"/>
    <s v="T-shirt"/>
    <s v="Pantaloons"/>
    <s v="Hyderabad"/>
    <n v="27"/>
    <n v="12"/>
    <n v="1268"/>
    <n v="17498.400000000001"/>
    <n v="0.13043478260869573"/>
    <n v="2282.4000000000015"/>
  </r>
  <r>
    <s v="ORD0057"/>
    <s v="2024-12-30"/>
    <x v="11"/>
    <s v="Amit Sharma"/>
    <s v="North"/>
    <s v="Electronics"/>
    <s v="Mobile"/>
    <s v="iPhone"/>
    <s v="Reliance Digital"/>
    <s v="Bangalore"/>
    <n v="60"/>
    <n v="12"/>
    <n v="156230"/>
    <n v="2287207.2000000002"/>
    <n v="0.18032786885245908"/>
    <n v="412447.20000000019"/>
  </r>
  <r>
    <s v="ORD0058"/>
    <s v="2024-11-30"/>
    <x v="6"/>
    <s v="Priya Singh"/>
    <s v="North"/>
    <s v="Clothing"/>
    <s v="Women Wear"/>
    <s v="Jeans"/>
    <s v="Pantaloons"/>
    <s v="Hyderabad"/>
    <n v="49"/>
    <n v="17"/>
    <n v="3918"/>
    <n v="76596.899999999994"/>
    <n v="0.13043478260869559"/>
    <n v="9990.8999999999942"/>
  </r>
  <r>
    <s v="ORD0059"/>
    <s v="2024-01-30"/>
    <x v="8"/>
    <s v="Anjali Mehta"/>
    <s v="East"/>
    <s v="Electronics"/>
    <s v="Accessories"/>
    <s v="Samsung TV"/>
    <s v="Reliance Digital"/>
    <s v="Hyderabad"/>
    <n v="71"/>
    <n v="20"/>
    <n v="35420"/>
    <n v="864248"/>
    <n v="0.18032786885245902"/>
    <n v="155848"/>
  </r>
  <r>
    <s v="ORD0060"/>
    <s v="2024-02-04"/>
    <x v="9"/>
    <s v="Rohit Das"/>
    <s v="South"/>
    <s v="Electronics"/>
    <s v="Laptop"/>
    <s v="Laptop Dell"/>
    <s v="Reliance Digital"/>
    <s v="Delhi"/>
    <n v="36"/>
    <n v="1"/>
    <n v="33270"/>
    <n v="40589.4"/>
    <n v="0.18032786885245905"/>
    <n v="7319.4000000000015"/>
  </r>
  <r>
    <s v="ORD0061"/>
    <s v="2024-09-21"/>
    <x v="3"/>
    <s v="Rohit Das"/>
    <s v="West"/>
    <s v="Electronics"/>
    <s v="Laptop"/>
    <s v="Laptop Dell"/>
    <s v="Reliance Digital"/>
    <s v="Bangalore"/>
    <n v="100"/>
    <n v="7"/>
    <n v="40360"/>
    <n v="344674.4"/>
    <n v="0.18032786885245908"/>
    <n v="62154.400000000023"/>
  </r>
  <r>
    <s v="ORD0062"/>
    <s v="2024-02-24"/>
    <x v="9"/>
    <s v="Anjali Mehta"/>
    <s v="East"/>
    <s v="Electronics"/>
    <s v="Accessories"/>
    <s v="Samsung TV"/>
    <s v="Reliance Digital"/>
    <s v="Bangalore"/>
    <n v="9"/>
    <n v="20"/>
    <n v="50600"/>
    <n v="1234640"/>
    <n v="0.18032786885245902"/>
    <n v="222640"/>
  </r>
  <r>
    <s v="ORD0063"/>
    <s v="2024-03-30"/>
    <x v="10"/>
    <s v="Rohit Das"/>
    <s v="West"/>
    <s v="Electronics"/>
    <s v="Accessories"/>
    <s v="Samsung TV"/>
    <s v="Reliance Digital"/>
    <s v="Bangalore"/>
    <n v="56"/>
    <n v="2"/>
    <n v="182300"/>
    <n v="444812"/>
    <n v="0.18032786885245902"/>
    <n v="80212"/>
  </r>
  <r>
    <s v="ORD0064"/>
    <s v="2024-10-11"/>
    <x v="0"/>
    <s v="Rohit Das"/>
    <s v="North"/>
    <s v="Furniture"/>
    <s v="Table"/>
    <s v="Wooden Table"/>
    <s v="IKEA"/>
    <s v="Mumbai"/>
    <n v="51"/>
    <n v="6"/>
    <n v="34300"/>
    <n v="244902"/>
    <n v="0.15966386554621848"/>
    <n v="39102"/>
  </r>
  <r>
    <s v="ORD0065"/>
    <s v="2024-05-03"/>
    <x v="2"/>
    <s v="Rohit Das"/>
    <s v="South"/>
    <s v="Clothing"/>
    <s v="Women Wear"/>
    <s v="Jeans"/>
    <s v="Pantaloons"/>
    <s v="Hyderabad"/>
    <n v="41"/>
    <n v="14"/>
    <n v="2989"/>
    <n v="48122.9"/>
    <n v="0.13043478260869568"/>
    <n v="6276.9000000000015"/>
  </r>
  <r>
    <s v="ORD0066"/>
    <s v="2024-09-19"/>
    <x v="3"/>
    <s v="Priya Singh"/>
    <s v="East"/>
    <s v="Electronics"/>
    <s v="Mobile"/>
    <s v="iPhone"/>
    <s v="Reliance Digital"/>
    <s v="Bangalore"/>
    <n v="54"/>
    <n v="2"/>
    <n v="145630"/>
    <n v="355337.2"/>
    <n v="0.18032786885245905"/>
    <n v="64077.200000000012"/>
  </r>
  <r>
    <s v="ORD0067"/>
    <s v="2024-07-20"/>
    <x v="4"/>
    <s v="Amit Sharma"/>
    <s v="West"/>
    <s v="Furniture"/>
    <s v="Table"/>
    <s v="Wooden Table"/>
    <s v="IKEA"/>
    <s v="Bangalore"/>
    <n v="85"/>
    <n v="15"/>
    <n v="34250"/>
    <n v="611362.5"/>
    <n v="0.15966386554621848"/>
    <n v="97612.5"/>
  </r>
  <r>
    <s v="ORD0068"/>
    <s v="2024-06-08"/>
    <x v="7"/>
    <s v="Priya Singh"/>
    <s v="South"/>
    <s v="Clothing"/>
    <s v="Women Wear"/>
    <s v="Jeans"/>
    <s v="Pantaloons"/>
    <s v="Kolkata"/>
    <n v="81"/>
    <n v="18"/>
    <n v="4301"/>
    <n v="89030.7"/>
    <n v="0.13043478260869562"/>
    <n v="11612.699999999997"/>
  </r>
  <r>
    <s v="ORD0069"/>
    <s v="2024-11-15"/>
    <x v="6"/>
    <s v="Rahul Verma"/>
    <s v="West"/>
    <s v="Furniture"/>
    <s v="Chair"/>
    <s v="Office Chair"/>
    <s v="IKEA"/>
    <s v="Hyderabad"/>
    <n v="52"/>
    <n v="15"/>
    <n v="1656"/>
    <n v="29559.599999999999"/>
    <n v="0.15966386554621845"/>
    <n v="4719.5999999999985"/>
  </r>
  <r>
    <s v="ORD0070"/>
    <s v="2024-11-06"/>
    <x v="6"/>
    <s v="Rahul Verma"/>
    <s v="West"/>
    <s v="Clothing"/>
    <s v="Women Wear"/>
    <s v="Jeans"/>
    <s v="Pantaloons"/>
    <s v="Bangalore"/>
    <n v="46"/>
    <n v="7"/>
    <n v="1100"/>
    <n v="8855"/>
    <n v="0.13043478260869565"/>
    <n v="1155"/>
  </r>
  <r>
    <s v="ORD0071"/>
    <s v="2024-07-11"/>
    <x v="4"/>
    <s v="Rohit Das"/>
    <s v="South"/>
    <s v="Clothing"/>
    <s v="Men Wear"/>
    <s v="T-shirt"/>
    <s v="Pantaloons"/>
    <s v="Bangalore"/>
    <n v="92"/>
    <n v="9"/>
    <n v="3516"/>
    <n v="36390.6"/>
    <n v="0.13043478260869562"/>
    <n v="4746.5999999999985"/>
  </r>
  <r>
    <s v="ORD0072"/>
    <s v="2024-01-12"/>
    <x v="8"/>
    <s v="Neha Gupta"/>
    <s v="East"/>
    <s v="Clothing"/>
    <s v="Women Wear"/>
    <s v="Jeans"/>
    <s v="Pantaloons"/>
    <s v="Bangalore"/>
    <n v="33"/>
    <n v="6"/>
    <n v="3400"/>
    <n v="23460"/>
    <n v="0.13043478260869565"/>
    <n v="3060"/>
  </r>
  <r>
    <s v="ORD0073"/>
    <s v="2024-08-11"/>
    <x v="5"/>
    <s v="Neha Gupta"/>
    <s v="South"/>
    <s v="Clothing"/>
    <s v="Men Wear"/>
    <s v="T-shirt"/>
    <s v="Pantaloons"/>
    <s v="Delhi"/>
    <n v="27"/>
    <n v="1"/>
    <n v="2495"/>
    <n v="2869.25"/>
    <n v="0.13043478260869565"/>
    <n v="374.25"/>
  </r>
  <r>
    <s v="ORD0074"/>
    <s v="2024-01-25"/>
    <x v="8"/>
    <s v="Priya Singh"/>
    <s v="East"/>
    <s v="Clothing"/>
    <s v="Men Wear"/>
    <s v="T-shirt"/>
    <s v="Pantaloons"/>
    <s v="Kolkata"/>
    <n v="24"/>
    <n v="19"/>
    <n v="4641"/>
    <n v="101405.85"/>
    <n v="0.1304347826086957"/>
    <n v="13226.850000000006"/>
  </r>
  <r>
    <s v="ORD0075"/>
    <s v="2024-05-09"/>
    <x v="2"/>
    <s v="Priya Singh"/>
    <s v="South"/>
    <s v="Furniture"/>
    <s v="Table"/>
    <s v="Wooden Table"/>
    <s v="IKEA"/>
    <s v="Hyderabad"/>
    <n v="100"/>
    <n v="16"/>
    <n v="38480"/>
    <n v="732659.19999999995"/>
    <n v="0.15966386554621845"/>
    <n v="116979.19999999995"/>
  </r>
  <r>
    <s v="ORD0076"/>
    <s v="2024-04-23"/>
    <x v="1"/>
    <s v="Rahul Verma"/>
    <s v="West"/>
    <s v="Electronics"/>
    <s v="Mobile"/>
    <s v="iPhone"/>
    <s v="Croma"/>
    <s v="Kolkata"/>
    <n v="91"/>
    <n v="11"/>
    <n v="154250"/>
    <n v="2070035"/>
    <n v="0.18032786885245902"/>
    <n v="373285"/>
  </r>
  <r>
    <s v="ORD0077"/>
    <s v="2024-02-08"/>
    <x v="9"/>
    <s v="Rohit Das"/>
    <s v="North"/>
    <s v="Electronics"/>
    <s v="Laptop"/>
    <s v="Laptop Dell"/>
    <s v="Croma"/>
    <s v="Hyderabad"/>
    <n v="35"/>
    <n v="10"/>
    <n v="79800"/>
    <n v="973560"/>
    <n v="0.18032786885245902"/>
    <n v="175560"/>
  </r>
  <r>
    <s v="ORD0078"/>
    <s v="2024-01-01"/>
    <x v="8"/>
    <s v="Neha Gupta"/>
    <s v="South"/>
    <s v="Electronics"/>
    <s v="Mobile"/>
    <s v="iPhone"/>
    <s v="Croma"/>
    <s v="Kolkata"/>
    <n v="59"/>
    <n v="20"/>
    <n v="450600"/>
    <n v="10994640"/>
    <n v="0.18032786885245902"/>
    <n v="1982640"/>
  </r>
  <r>
    <s v="ORD0079"/>
    <s v="2024-09-26"/>
    <x v="3"/>
    <s v="Neha Gupta"/>
    <s v="East"/>
    <s v="Furniture"/>
    <s v="Table"/>
    <s v="Wooden Table"/>
    <s v="IKEA"/>
    <s v="Hyderabad"/>
    <n v="78"/>
    <n v="1"/>
    <n v="24800"/>
    <n v="29512"/>
    <n v="0.15966386554621848"/>
    <n v="4712"/>
  </r>
  <r>
    <s v="ORD0080"/>
    <s v="2024-03-04"/>
    <x v="10"/>
    <s v="Anjali Mehta"/>
    <s v="East"/>
    <s v="Electronics"/>
    <s v="Laptop"/>
    <s v="Laptop Dell"/>
    <s v="Croma"/>
    <s v="Hyderabad"/>
    <n v="72"/>
    <n v="15"/>
    <n v="45600"/>
    <n v="834480"/>
    <n v="0.18032786885245902"/>
    <n v="150480"/>
  </r>
  <r>
    <s v="ORD0081"/>
    <s v="2024-12-14"/>
    <x v="11"/>
    <s v="Amit Sharma"/>
    <s v="East"/>
    <s v="Furniture"/>
    <s v="Table"/>
    <s v="Wooden Table"/>
    <s v="IKEA"/>
    <s v="Bangalore"/>
    <n v="27"/>
    <n v="5"/>
    <n v="21380"/>
    <n v="127211"/>
    <n v="0.15966386554621848"/>
    <n v="20311"/>
  </r>
  <r>
    <s v="ORD0082"/>
    <s v="2024-11-26"/>
    <x v="6"/>
    <s v="Rohit Das"/>
    <s v="North"/>
    <s v="Electronics"/>
    <s v="Accessories"/>
    <s v="Samsung TV"/>
    <s v="Croma"/>
    <s v="Hyderabad"/>
    <n v="38"/>
    <n v="8"/>
    <n v="51700"/>
    <n v="504592"/>
    <n v="0.18032786885245902"/>
    <n v="90992"/>
  </r>
  <r>
    <s v="ORD0083"/>
    <s v="2024-01-19"/>
    <x v="8"/>
    <s v="Priya Singh"/>
    <s v="West"/>
    <s v="Electronics"/>
    <s v="Mobile"/>
    <s v="iPhone"/>
    <s v="Croma"/>
    <s v="Hyderabad"/>
    <n v="18"/>
    <n v="13"/>
    <n v="65200"/>
    <n v="1034072"/>
    <n v="0.18032786885245902"/>
    <n v="186472"/>
  </r>
  <r>
    <s v="ORD0084"/>
    <s v="2024-09-02"/>
    <x v="3"/>
    <s v="Rohit Das"/>
    <s v="South"/>
    <s v="Electronics"/>
    <s v="Accessories"/>
    <s v="Samsung TV"/>
    <s v="Reliance Digital"/>
    <s v="Delhi"/>
    <n v="96"/>
    <n v="11"/>
    <n v="40910"/>
    <n v="549012.19999999995"/>
    <n v="0.18032786885245894"/>
    <n v="99002.199999999953"/>
  </r>
  <r>
    <s v="ORD0085"/>
    <s v="2024-07-15"/>
    <x v="4"/>
    <s v="Anjali Mehta"/>
    <s v="East"/>
    <s v="Furniture"/>
    <s v="Table"/>
    <s v="Wooden Table"/>
    <s v="IKEA"/>
    <s v="Hyderabad"/>
    <n v="15"/>
    <n v="9"/>
    <n v="47360"/>
    <n v="507225.59999999998"/>
    <n v="0.15966386554621845"/>
    <n v="80985.599999999977"/>
  </r>
  <r>
    <s v="ORD0086"/>
    <s v="2024-11-06"/>
    <x v="6"/>
    <s v="Priya Singh"/>
    <s v="West"/>
    <s v="Electronics"/>
    <s v="Accessories"/>
    <s v="Samsung TV"/>
    <s v="Reliance Digital"/>
    <s v="Delhi"/>
    <n v="3"/>
    <n v="9"/>
    <n v="42280"/>
    <n v="464234.4"/>
    <n v="0.18032786885245905"/>
    <n v="83714.400000000023"/>
  </r>
  <r>
    <s v="ORD0087"/>
    <s v="2024-07-12"/>
    <x v="4"/>
    <s v="Anjali Mehta"/>
    <s v="West"/>
    <s v="Furniture"/>
    <s v="Table"/>
    <s v="Wooden Table"/>
    <s v="IKEA"/>
    <s v="Hyderabad"/>
    <n v="81"/>
    <n v="2"/>
    <n v="24700"/>
    <n v="58786"/>
    <n v="0.15966386554621848"/>
    <n v="9386"/>
  </r>
  <r>
    <s v="ORD0088"/>
    <s v="2024-11-13"/>
    <x v="6"/>
    <s v="Neha Gupta"/>
    <s v="South"/>
    <s v="Clothing"/>
    <s v="Women Wear"/>
    <s v="Jeans"/>
    <s v="Pantaloons"/>
    <s v="Kolkata"/>
    <n v="64"/>
    <n v="2"/>
    <n v="4802"/>
    <n v="11044.6"/>
    <n v="0.13043478260869568"/>
    <n v="1440.6000000000004"/>
  </r>
  <r>
    <s v="ORD0089"/>
    <s v="2024-12-31"/>
    <x v="11"/>
    <s v="Rohit Das"/>
    <s v="East"/>
    <s v="Clothing"/>
    <s v="Men Wear"/>
    <s v="T-shirt"/>
    <s v="Pantaloons"/>
    <s v="Hyderabad"/>
    <n v="51"/>
    <n v="7"/>
    <n v="4664"/>
    <n v="37545.199999999997"/>
    <n v="0.13043478260869559"/>
    <n v="4897.1999999999971"/>
  </r>
  <r>
    <s v="ORD0090"/>
    <s v="2024-12-30"/>
    <x v="11"/>
    <s v="Rohit Das"/>
    <s v="East"/>
    <s v="Furniture"/>
    <s v="Table"/>
    <s v="Wooden Table"/>
    <s v="IKEA"/>
    <s v="Bangalore"/>
    <n v="20"/>
    <n v="1"/>
    <n v="45290"/>
    <n v="53895.1"/>
    <n v="0.15966386554621848"/>
    <n v="8605.0999999999985"/>
  </r>
  <r>
    <s v="ORD0091"/>
    <s v="2024-10-30"/>
    <x v="0"/>
    <s v="Rahul Verma"/>
    <s v="West"/>
    <s v="Clothing"/>
    <s v="Men Wear"/>
    <s v="T-shirt"/>
    <s v="Pantaloons"/>
    <s v="Delhi"/>
    <n v="0"/>
    <n v="12"/>
    <n v="3022"/>
    <n v="41703.599999999999"/>
    <n v="0.13043478260869562"/>
    <n v="5439.5999999999985"/>
  </r>
  <r>
    <s v="ORD0092"/>
    <s v="2024-03-14"/>
    <x v="10"/>
    <s v="Anjali Mehta"/>
    <s v="South"/>
    <s v="Electronics"/>
    <s v="Laptop"/>
    <s v="Laptop Dell"/>
    <s v="Reliance Digital"/>
    <s v="Mumbai"/>
    <n v="16"/>
    <n v="12"/>
    <n v="21230"/>
    <n v="310807.2"/>
    <n v="0.18032786885245905"/>
    <n v="56047.200000000012"/>
  </r>
  <r>
    <s v="ORD0093"/>
    <s v="2024-01-07"/>
    <x v="8"/>
    <s v="Neha Gupta"/>
    <s v="West"/>
    <s v="Electronics"/>
    <s v="Accessories"/>
    <s v="Samsung TV"/>
    <s v="Croma"/>
    <s v="Kolkata"/>
    <n v="24"/>
    <n v="16"/>
    <n v="186000"/>
    <n v="3630720"/>
    <n v="0.18032786885245902"/>
    <n v="654720"/>
  </r>
  <r>
    <s v="ORD0094"/>
    <s v="2024-01-21"/>
    <x v="8"/>
    <s v="Amit Sharma"/>
    <s v="West"/>
    <s v="Furniture"/>
    <s v="Chair"/>
    <s v="Office Chair"/>
    <s v="IKEA"/>
    <s v="Mumbai"/>
    <n v="15"/>
    <n v="9"/>
    <n v="1809"/>
    <n v="19374.39"/>
    <n v="0.15966386554621848"/>
    <n v="3093.3899999999994"/>
  </r>
  <r>
    <s v="ORD0095"/>
    <s v="2024-09-28"/>
    <x v="3"/>
    <s v="Rahul Verma"/>
    <s v="East"/>
    <s v="Clothing"/>
    <s v="Men Wear"/>
    <s v="T-shirt"/>
    <s v="Pantaloons"/>
    <s v="Kolkata"/>
    <n v="71"/>
    <n v="1"/>
    <n v="1266"/>
    <n v="1455.9"/>
    <n v="0.1304347826086957"/>
    <n v="189.90000000000009"/>
  </r>
  <r>
    <s v="ORD0096"/>
    <s v="2024-03-12"/>
    <x v="10"/>
    <s v="Rahul Verma"/>
    <s v="North"/>
    <s v="Electronics"/>
    <s v="Accessories"/>
    <s v="Samsung TV"/>
    <s v="Croma"/>
    <s v="Hyderabad"/>
    <n v="86"/>
    <n v="2"/>
    <n v="40480"/>
    <n v="98771.199999999997"/>
    <n v="0.18032786885245899"/>
    <n v="17811.199999999997"/>
  </r>
  <r>
    <s v="ORD0097"/>
    <s v="2024-08-13"/>
    <x v="5"/>
    <s v="Amit Sharma"/>
    <s v="North"/>
    <s v="Furniture"/>
    <s v="Chair"/>
    <s v="Office Chair"/>
    <s v="IKEA"/>
    <s v="Delhi"/>
    <n v="84"/>
    <n v="10"/>
    <n v="4270"/>
    <n v="50813"/>
    <n v="0.15966386554621848"/>
    <n v="8113"/>
  </r>
  <r>
    <s v="ORD0098"/>
    <s v="2024-05-01"/>
    <x v="2"/>
    <s v="Anjali Mehta"/>
    <s v="North"/>
    <s v="Furniture"/>
    <s v="Table"/>
    <s v="Wooden Table"/>
    <s v="IKEA"/>
    <s v="Kolkata"/>
    <n v="85"/>
    <n v="13"/>
    <n v="40380"/>
    <n v="624678.6"/>
    <n v="0.15966386554621845"/>
    <n v="99738.599999999977"/>
  </r>
  <r>
    <s v="ORD0099"/>
    <s v="2024-12-11"/>
    <x v="11"/>
    <s v="Neha Gupta"/>
    <s v="North"/>
    <s v="Furniture"/>
    <s v="Table"/>
    <s v="Wooden Table"/>
    <s v="IKEA"/>
    <s v="Delhi"/>
    <n v="60"/>
    <n v="17"/>
    <n v="56500"/>
    <n v="1142995"/>
    <n v="0.15966386554621848"/>
    <n v="182495"/>
  </r>
  <r>
    <s v="ORD0100"/>
    <s v="2024-07-29"/>
    <x v="4"/>
    <s v="Anjali Mehta"/>
    <s v="East"/>
    <s v="Furniture"/>
    <s v="Table"/>
    <s v="Wooden Table"/>
    <s v="IKEA"/>
    <s v="Kolkata"/>
    <n v="43"/>
    <n v="2"/>
    <n v="32200"/>
    <n v="76636"/>
    <n v="0.15966386554621848"/>
    <n v="12236"/>
  </r>
  <r>
    <s v="ORD0101"/>
    <s v="2024-12-06"/>
    <x v="11"/>
    <s v="Priya Singh"/>
    <s v="South"/>
    <s v="Clothing"/>
    <s v="Men Wear"/>
    <s v="T-shirt"/>
    <s v="Pantaloons"/>
    <s v="Kolkata"/>
    <n v="43"/>
    <n v="20"/>
    <n v="3992"/>
    <n v="91816"/>
    <n v="0.13043478260869565"/>
    <n v="11976"/>
  </r>
  <r>
    <s v="ORD0102"/>
    <s v="2024-03-21"/>
    <x v="10"/>
    <s v="Rahul Verma"/>
    <s v="North"/>
    <s v="Clothing"/>
    <s v="Women Wear"/>
    <s v="Jeans"/>
    <s v="Pantaloons"/>
    <s v="Hyderabad"/>
    <n v="24"/>
    <n v="19"/>
    <n v="1200"/>
    <n v="26220"/>
    <n v="0.13043478260869565"/>
    <n v="3420"/>
  </r>
  <r>
    <s v="ORD0103"/>
    <s v="2024-10-23"/>
    <x v="0"/>
    <s v="Priya Singh"/>
    <s v="East"/>
    <s v="Furniture"/>
    <s v="Chair"/>
    <s v="Office Chair"/>
    <s v="IKEA"/>
    <s v="Bangalore"/>
    <n v="24"/>
    <n v="6"/>
    <n v="1432"/>
    <n v="10224.48"/>
    <n v="0.15966386554621845"/>
    <n v="1632.4799999999996"/>
  </r>
  <r>
    <s v="ORD0104"/>
    <s v="2024-05-28"/>
    <x v="2"/>
    <s v="Priya Singh"/>
    <s v="West"/>
    <s v="Furniture"/>
    <s v="Table"/>
    <s v="Wooden Table"/>
    <s v="IKEA"/>
    <s v="Bangalore"/>
    <n v="28"/>
    <n v="11"/>
    <n v="46530"/>
    <n v="609077.69999999995"/>
    <n v="0.15966386554621842"/>
    <n v="97247.699999999953"/>
  </r>
  <r>
    <s v="ORD0105"/>
    <s v="2024-05-22"/>
    <x v="2"/>
    <s v="Amit Sharma"/>
    <s v="West"/>
    <s v="Electronics"/>
    <s v="Laptop"/>
    <s v="Laptop Dell"/>
    <s v="Croma"/>
    <s v="Hyderabad"/>
    <n v="25"/>
    <n v="20"/>
    <n v="10890"/>
    <n v="265716"/>
    <n v="0.18032786885245902"/>
    <n v="47916"/>
  </r>
  <r>
    <s v="ORD0106"/>
    <s v="2024-04-29"/>
    <x v="1"/>
    <s v="Neha Gupta"/>
    <s v="East"/>
    <s v="Furniture"/>
    <s v="Table"/>
    <s v="Wooden Table"/>
    <s v="IKEA"/>
    <s v="Hyderabad"/>
    <n v="66"/>
    <n v="16"/>
    <n v="31510"/>
    <n v="599950.4"/>
    <n v="0.15966386554621853"/>
    <n v="95790.400000000023"/>
  </r>
  <r>
    <s v="ORD0107"/>
    <s v="2024-04-01"/>
    <x v="1"/>
    <s v="Rohit Das"/>
    <s v="West"/>
    <s v="Electronics"/>
    <s v="Laptop"/>
    <s v="Laptop Dell"/>
    <s v="Croma"/>
    <s v="Delhi"/>
    <n v="19"/>
    <n v="8"/>
    <n v="41220"/>
    <n v="402307.2"/>
    <n v="0.18032786885245905"/>
    <n v="72547.200000000012"/>
  </r>
  <r>
    <s v="ORD0108"/>
    <s v="2024-06-12"/>
    <x v="7"/>
    <s v="Neha Gupta"/>
    <s v="South"/>
    <s v="Clothing"/>
    <s v="Men Wear"/>
    <s v="T-shirt"/>
    <s v="Pantaloons"/>
    <s v="Bangalore"/>
    <n v="49"/>
    <n v="9"/>
    <n v="1844"/>
    <n v="19085.400000000001"/>
    <n v="0.13043478260869573"/>
    <n v="2489.4000000000015"/>
  </r>
  <r>
    <s v="ORD0109"/>
    <s v="2024-07-14"/>
    <x v="4"/>
    <s v="Amit Sharma"/>
    <s v="West"/>
    <s v="Clothing"/>
    <s v="Women Wear"/>
    <s v="Jeans"/>
    <s v="Pantaloons"/>
    <s v="Bangalore"/>
    <n v="39"/>
    <n v="1"/>
    <n v="1250"/>
    <n v="1437.5"/>
    <n v="0.13043478260869565"/>
    <n v="187.5"/>
  </r>
  <r>
    <s v="ORD0110"/>
    <s v="2024-07-10"/>
    <x v="4"/>
    <s v="Amit Sharma"/>
    <s v="East"/>
    <s v="Furniture"/>
    <s v="Table"/>
    <s v="Wooden Table"/>
    <s v="IKEA"/>
    <s v="Mumbai"/>
    <n v="55"/>
    <n v="7"/>
    <n v="18640"/>
    <n v="155271.20000000001"/>
    <n v="0.15966386554621856"/>
    <n v="24791.200000000012"/>
  </r>
  <r>
    <s v="ORD0111"/>
    <s v="2024-02-11"/>
    <x v="9"/>
    <s v="Neha Gupta"/>
    <s v="East"/>
    <s v="Furniture"/>
    <s v="Table"/>
    <s v="Wooden Table"/>
    <s v="IKEA"/>
    <s v="Kolkata"/>
    <n v="98"/>
    <n v="17"/>
    <n v="36700"/>
    <n v="742441"/>
    <n v="0.15966386554621848"/>
    <n v="118541"/>
  </r>
  <r>
    <s v="ORD0112"/>
    <s v="2024-08-22"/>
    <x v="5"/>
    <s v="Anjali Mehta"/>
    <s v="West"/>
    <s v="Furniture"/>
    <s v="Chair"/>
    <s v="Office Chair"/>
    <s v="IKEA"/>
    <s v="Hyderabad"/>
    <n v="14"/>
    <n v="6"/>
    <n v="2608"/>
    <n v="18621.12"/>
    <n v="0.15966386554621845"/>
    <n v="2973.119999999999"/>
  </r>
  <r>
    <s v="ORD0113"/>
    <s v="2024-01-15"/>
    <x v="8"/>
    <s v="Anjali Mehta"/>
    <s v="West"/>
    <s v="Electronics"/>
    <s v="Mobile"/>
    <s v="iPhone"/>
    <s v="Croma"/>
    <s v="Delhi"/>
    <n v="60"/>
    <n v="13"/>
    <n v="75800"/>
    <n v="1202188"/>
    <n v="0.18032786885245902"/>
    <n v="216788"/>
  </r>
  <r>
    <s v="ORD0114"/>
    <s v="2024-08-11"/>
    <x v="5"/>
    <s v="Anjali Mehta"/>
    <s v="South"/>
    <s v="Clothing"/>
    <s v="Men Wear"/>
    <s v="T-shirt"/>
    <s v="Pantaloons"/>
    <s v="Kolkata"/>
    <n v="39"/>
    <n v="5"/>
    <n v="3135"/>
    <n v="18026.25"/>
    <n v="0.13043478260869565"/>
    <n v="2351.25"/>
  </r>
  <r>
    <s v="ORD0115"/>
    <s v="2024-11-24"/>
    <x v="6"/>
    <s v="Rohit Das"/>
    <s v="South"/>
    <s v="Clothing"/>
    <s v="Women Wear"/>
    <s v="Jeans"/>
    <s v="Big Bazaar"/>
    <s v="Hyderabad"/>
    <n v="27"/>
    <n v="6"/>
    <n v="4106"/>
    <n v="28331.4"/>
    <n v="0.1304347826086957"/>
    <n v="3695.4000000000015"/>
  </r>
  <r>
    <s v="ORD0116"/>
    <s v="2024-05-11"/>
    <x v="2"/>
    <s v="Amit Sharma"/>
    <s v="South"/>
    <s v="Clothing"/>
    <s v="Men Wear"/>
    <s v="T-shirt"/>
    <s v="Pantaloons"/>
    <s v="Mumbai"/>
    <n v="66"/>
    <n v="12"/>
    <n v="2127"/>
    <n v="29352.6"/>
    <n v="0.13043478260869562"/>
    <n v="3828.5999999999985"/>
  </r>
  <r>
    <s v="ORD0117"/>
    <s v="2024-02-10"/>
    <x v="9"/>
    <s v="Anjali Mehta"/>
    <s v="South"/>
    <s v="Electronics"/>
    <s v="Laptop"/>
    <s v="Laptop Dell"/>
    <s v="Reliance Digital"/>
    <s v="Bangalore"/>
    <n v="11"/>
    <n v="1"/>
    <n v="25000"/>
    <n v="30500"/>
    <n v="0.18032786885245902"/>
    <n v="5500"/>
  </r>
  <r>
    <s v="ORD0118"/>
    <s v="2024-05-04"/>
    <x v="2"/>
    <s v="Rahul Verma"/>
    <s v="East"/>
    <s v="Electronics"/>
    <s v="Mobile"/>
    <s v="iPhone"/>
    <s v="Croma"/>
    <s v="Mumbai"/>
    <n v="88"/>
    <n v="10"/>
    <n v="147250"/>
    <n v="1796450"/>
    <n v="0.18032786885245902"/>
    <n v="323950"/>
  </r>
  <r>
    <s v="ORD0119"/>
    <s v="2024-03-20"/>
    <x v="10"/>
    <s v="Rohit Das"/>
    <s v="East"/>
    <s v="Clothing"/>
    <s v="Women Wear"/>
    <s v="Jeans"/>
    <s v="Pantaloons"/>
    <s v="Hyderabad"/>
    <n v="41"/>
    <n v="12"/>
    <n v="2594"/>
    <n v="35797.199999999997"/>
    <n v="0.13043478260869559"/>
    <n v="4669.1999999999971"/>
  </r>
  <r>
    <s v="ORD0120"/>
    <s v="2024-05-16"/>
    <x v="2"/>
    <s v="Rohit Das"/>
    <s v="North"/>
    <s v="Furniture"/>
    <s v="Chair"/>
    <s v="Office Chair"/>
    <s v="IKEA"/>
    <s v="Mumbai"/>
    <n v="55"/>
    <n v="20"/>
    <n v="1554"/>
    <n v="36985.199999999997"/>
    <n v="0.15966386554621842"/>
    <n v="5905.1999999999971"/>
  </r>
  <r>
    <s v="ORD0121"/>
    <s v="2024-05-03"/>
    <x v="2"/>
    <s v="Rahul Verma"/>
    <s v="North"/>
    <s v="Clothing"/>
    <s v="Men Wear"/>
    <s v="T-shirt"/>
    <s v="Pantaloons"/>
    <s v="Mumbai"/>
    <n v="64"/>
    <n v="8"/>
    <n v="1150"/>
    <n v="10580"/>
    <n v="0.13043478260869565"/>
    <n v="1380"/>
  </r>
  <r>
    <s v="ORD0122"/>
    <s v="2024-11-28"/>
    <x v="6"/>
    <s v="Amit Sharma"/>
    <s v="North"/>
    <s v="Electronics"/>
    <s v="Mobile"/>
    <s v="iPhone"/>
    <s v="Croma"/>
    <s v="Kolkata"/>
    <n v="97"/>
    <n v="7"/>
    <n v="98260"/>
    <n v="839140.4"/>
    <n v="0.18032786885245905"/>
    <n v="151320.40000000002"/>
  </r>
  <r>
    <s v="ORD0123"/>
    <s v="2024-11-05"/>
    <x v="6"/>
    <s v="Rohit Das"/>
    <s v="South"/>
    <s v="Clothing"/>
    <s v="Men Wear"/>
    <s v="T-shirt"/>
    <s v="Pantaloons"/>
    <s v="Hyderabad"/>
    <n v="8"/>
    <n v="20"/>
    <n v="2739"/>
    <n v="62997"/>
    <n v="0.13043478260869565"/>
    <n v="8217"/>
  </r>
  <r>
    <s v="ORD0124"/>
    <s v="2024-07-30"/>
    <x v="4"/>
    <s v="Rahul Verma"/>
    <s v="East"/>
    <s v="Clothing"/>
    <s v="Men Wear"/>
    <s v="T-shirt"/>
    <s v="Pantaloons"/>
    <s v="Bangalore"/>
    <n v="14"/>
    <n v="16"/>
    <n v="650"/>
    <n v="11960"/>
    <n v="0.13043478260869565"/>
    <n v="1560"/>
  </r>
  <r>
    <s v="ORD0125"/>
    <s v="2024-03-28"/>
    <x v="10"/>
    <s v="Rahul Verma"/>
    <s v="South"/>
    <s v="Electronics"/>
    <s v="Mobile"/>
    <s v="iPhone"/>
    <s v="Reliance Digital"/>
    <s v="Hyderabad"/>
    <n v="63"/>
    <n v="16"/>
    <n v="136230"/>
    <n v="2659209.6"/>
    <n v="0.18032786885245905"/>
    <n v="479529.60000000009"/>
  </r>
  <r>
    <s v="ORD0126"/>
    <s v="2024-12-13"/>
    <x v="11"/>
    <s v="Amit Sharma"/>
    <s v="North"/>
    <s v="Furniture"/>
    <s v="Table"/>
    <s v="Wooden Table"/>
    <s v="IKEA"/>
    <s v="Kolkata"/>
    <n v="66"/>
    <n v="13"/>
    <n v="13040"/>
    <n v="201728.8"/>
    <n v="0.15966386554621845"/>
    <n v="32208.799999999988"/>
  </r>
  <r>
    <s v="ORD0127"/>
    <s v="2024-02-22"/>
    <x v="9"/>
    <s v="Amit Sharma"/>
    <s v="East"/>
    <s v="Clothing"/>
    <s v="Men Wear"/>
    <s v="T-shirt"/>
    <s v="Pantaloons"/>
    <s v="Delhi"/>
    <n v="99"/>
    <n v="15"/>
    <n v="1524"/>
    <n v="26289"/>
    <n v="0.13043478260869565"/>
    <n v="3429"/>
  </r>
  <r>
    <s v="ORD0128"/>
    <s v="2024-09-30"/>
    <x v="3"/>
    <s v="Neha Gupta"/>
    <s v="East"/>
    <s v="Clothing"/>
    <s v="Women Wear"/>
    <s v="Jeans"/>
    <s v="Big Bazaar"/>
    <s v="Bangalore"/>
    <n v="22"/>
    <n v="2"/>
    <n v="4417"/>
    <n v="10159.1"/>
    <n v="0.13043478260869568"/>
    <n v="1325.1000000000004"/>
  </r>
  <r>
    <s v="ORD0129"/>
    <s v="2024-02-16"/>
    <x v="9"/>
    <s v="Anjali Mehta"/>
    <s v="South"/>
    <s v="Electronics"/>
    <s v="Mobile"/>
    <s v="iPhone"/>
    <s v="Croma"/>
    <s v="Bangalore"/>
    <n v="100"/>
    <n v="12"/>
    <n v="145260"/>
    <n v="2126606.4"/>
    <n v="0.18032786885245897"/>
    <n v="383486.39999999991"/>
  </r>
  <r>
    <s v="ORD0130"/>
    <s v="2024-07-22"/>
    <x v="4"/>
    <s v="Priya Singh"/>
    <s v="North"/>
    <s v="Clothing"/>
    <s v="Women Wear"/>
    <s v="Jeans"/>
    <s v="Pantaloons"/>
    <s v="Bangalore"/>
    <n v="91"/>
    <n v="12"/>
    <n v="3109"/>
    <n v="42904.2"/>
    <n v="0.13043478260869559"/>
    <n v="5596.1999999999971"/>
  </r>
  <r>
    <s v="ORD0131"/>
    <s v="2024-11-01"/>
    <x v="6"/>
    <s v="Priya Singh"/>
    <s v="North"/>
    <s v="Clothing"/>
    <s v="Women Wear"/>
    <s v="Jeans"/>
    <s v="Big Bazaar"/>
    <s v="Mumbai"/>
    <n v="20"/>
    <n v="6"/>
    <n v="1150"/>
    <n v="7935"/>
    <n v="0.13043478260869565"/>
    <n v="1035"/>
  </r>
  <r>
    <s v="ORD0132"/>
    <s v="2024-04-01"/>
    <x v="1"/>
    <s v="Rohit Das"/>
    <s v="North"/>
    <s v="Clothing"/>
    <s v="Women Wear"/>
    <s v="Jeans"/>
    <s v="Pantaloons"/>
    <s v="Mumbai"/>
    <n v="56"/>
    <n v="17"/>
    <n v="1350"/>
    <n v="26392.5"/>
    <n v="0.13043478260869565"/>
    <n v="3442.5"/>
  </r>
  <r>
    <s v="ORD0133"/>
    <s v="2024-05-21"/>
    <x v="2"/>
    <s v="Neha Gupta"/>
    <s v="West"/>
    <s v="Electronics"/>
    <s v="Laptop"/>
    <s v="Laptop Dell"/>
    <s v="Croma"/>
    <s v="Kolkata"/>
    <n v="60"/>
    <n v="5"/>
    <n v="48300"/>
    <n v="294630"/>
    <n v="0.18032786885245902"/>
    <n v="53130"/>
  </r>
  <r>
    <s v="ORD0134"/>
    <s v="2024-04-30"/>
    <x v="1"/>
    <s v="Rohit Das"/>
    <s v="North"/>
    <s v="Clothing"/>
    <s v="Men Wear"/>
    <s v="T-shirt"/>
    <s v="Big Bazaar"/>
    <s v="Bangalore"/>
    <n v="30"/>
    <n v="13"/>
    <n v="2097"/>
    <n v="31350.15"/>
    <n v="0.1304347826086957"/>
    <n v="4089.1500000000015"/>
  </r>
  <r>
    <s v="ORD0135"/>
    <s v="2024-12-29"/>
    <x v="11"/>
    <s v="Rahul Verma"/>
    <s v="West"/>
    <s v="Clothing"/>
    <s v="Men Wear"/>
    <s v="T-shirt"/>
    <s v="Big Bazaar"/>
    <s v="Delhi"/>
    <n v="30"/>
    <n v="13"/>
    <n v="2720"/>
    <n v="40664"/>
    <n v="0.13043478260869565"/>
    <n v="5304"/>
  </r>
  <r>
    <s v="ORD0136"/>
    <s v="2024-01-25"/>
    <x v="8"/>
    <s v="Rohit Das"/>
    <s v="West"/>
    <s v="Electronics"/>
    <s v="Laptop"/>
    <s v="Laptop Dell"/>
    <s v="Croma"/>
    <s v="Bangalore"/>
    <n v="69"/>
    <n v="19"/>
    <n v="65470"/>
    <n v="1517594.6"/>
    <n v="0.18032786885245908"/>
    <n v="273664.60000000009"/>
  </r>
  <r>
    <s v="ORD0137"/>
    <s v="2024-06-03"/>
    <x v="7"/>
    <s v="Amit Sharma"/>
    <s v="North"/>
    <s v="Electronics"/>
    <s v="Mobile"/>
    <s v="iPhone"/>
    <s v="Croma"/>
    <s v="Delhi"/>
    <n v="98"/>
    <n v="13"/>
    <n v="65200"/>
    <n v="1034072"/>
    <n v="0.18032786885245902"/>
    <n v="186472"/>
  </r>
  <r>
    <s v="ORD0138"/>
    <s v="2024-06-04"/>
    <x v="7"/>
    <s v="Amit Sharma"/>
    <s v="South"/>
    <s v="Clothing"/>
    <s v="Men Wear"/>
    <s v="T-shirt"/>
    <s v="Big Bazaar"/>
    <s v="Hyderabad"/>
    <n v="100"/>
    <n v="14"/>
    <n v="3265"/>
    <n v="52566.5"/>
    <n v="0.13043478260869565"/>
    <n v="6856.5"/>
  </r>
  <r>
    <s v="ORD0139"/>
    <s v="2024-08-06"/>
    <x v="5"/>
    <s v="Neha Gupta"/>
    <s v="East"/>
    <s v="Electronics"/>
    <s v="Mobile"/>
    <s v="iPhone"/>
    <s v="Croma"/>
    <s v="Delhi"/>
    <n v="63"/>
    <n v="9"/>
    <n v="141260"/>
    <n v="1551034.8"/>
    <n v="0.18032786885245905"/>
    <n v="279694.80000000005"/>
  </r>
  <r>
    <s v="ORD0140"/>
    <s v="2024-09-02"/>
    <x v="3"/>
    <s v="Priya Singh"/>
    <s v="North"/>
    <s v="Clothing"/>
    <s v="Men Wear"/>
    <s v="T-shirt"/>
    <s v="Big Bazaar"/>
    <s v="Mumbai"/>
    <n v="20"/>
    <n v="13"/>
    <n v="1761"/>
    <n v="26326.95"/>
    <n v="0.13043478260869568"/>
    <n v="3433.9500000000007"/>
  </r>
  <r>
    <s v="ORD0141"/>
    <s v="2024-03-26"/>
    <x v="10"/>
    <s v="Neha Gupta"/>
    <s v="North"/>
    <s v="Furniture"/>
    <s v="Chair"/>
    <s v="Office Chair"/>
    <s v="IKEA"/>
    <s v="Kolkata"/>
    <n v="19"/>
    <n v="11"/>
    <n v="4536"/>
    <n v="59376.24"/>
    <n v="0.15966386554621845"/>
    <n v="9480.239999999998"/>
  </r>
  <r>
    <s v="ORD0142"/>
    <s v="2024-07-18"/>
    <x v="4"/>
    <s v="Anjali Mehta"/>
    <s v="South"/>
    <s v="Electronics"/>
    <s v="Laptop"/>
    <s v="Laptop Dell"/>
    <s v="Croma"/>
    <s v="Delhi"/>
    <n v="65"/>
    <n v="6"/>
    <n v="34920"/>
    <n v="255614.4"/>
    <n v="0.18032786885245899"/>
    <n v="46094.399999999994"/>
  </r>
  <r>
    <s v="ORD0143"/>
    <s v="2024-06-23"/>
    <x v="7"/>
    <s v="Rohit Das"/>
    <s v="North"/>
    <s v="Electronics"/>
    <s v="Laptop"/>
    <s v="Laptop Dell"/>
    <s v="Croma"/>
    <s v="Bangalore"/>
    <n v="14"/>
    <n v="5"/>
    <n v="39450"/>
    <n v="240645"/>
    <n v="0.18032786885245902"/>
    <n v="43395"/>
  </r>
  <r>
    <s v="ORD0144"/>
    <s v="2024-09-30"/>
    <x v="3"/>
    <s v="Neha Gupta"/>
    <s v="East"/>
    <s v="Clothing"/>
    <s v="Men Wear"/>
    <s v="T-shirt"/>
    <s v="Pantaloons"/>
    <s v="Hyderabad"/>
    <n v="11"/>
    <n v="2"/>
    <n v="1888"/>
    <n v="4342.3999999999996"/>
    <n v="0.13043478260869559"/>
    <n v="566.39999999999964"/>
  </r>
  <r>
    <s v="ORD0145"/>
    <s v="2024-07-06"/>
    <x v="4"/>
    <s v="Rohit Das"/>
    <s v="West"/>
    <s v="Electronics"/>
    <s v="Accessories"/>
    <s v="Samsung TV"/>
    <s v="Croma"/>
    <s v="Hyderabad"/>
    <n v="64"/>
    <n v="5"/>
    <n v="32830"/>
    <n v="200263"/>
    <n v="0.18032786885245902"/>
    <n v="36113"/>
  </r>
  <r>
    <s v="ORD0146"/>
    <s v="2024-09-26"/>
    <x v="3"/>
    <s v="Anjali Mehta"/>
    <s v="North"/>
    <s v="Furniture"/>
    <s v="Table"/>
    <s v="Wooden Table"/>
    <s v="IKEA"/>
    <s v="Bangalore"/>
    <n v="38"/>
    <n v="16"/>
    <n v="39700"/>
    <n v="755888"/>
    <n v="0.15966386554621848"/>
    <n v="120688"/>
  </r>
  <r>
    <s v="ORD0147"/>
    <s v="2024-05-12"/>
    <x v="2"/>
    <s v="Priya Singh"/>
    <s v="West"/>
    <s v="Electronics"/>
    <s v="Laptop"/>
    <s v="Laptop Dell"/>
    <s v="Croma"/>
    <s v="Hyderabad"/>
    <n v="6"/>
    <n v="9"/>
    <n v="24580"/>
    <n v="269888.40000000002"/>
    <n v="0.18032786885245908"/>
    <n v="48668.400000000023"/>
  </r>
  <r>
    <s v="ORD0148"/>
    <s v="2024-05-25"/>
    <x v="2"/>
    <s v="Amit Sharma"/>
    <s v="South"/>
    <s v="Furniture"/>
    <s v="Chair"/>
    <s v="Office Chair"/>
    <s v="IKEA"/>
    <s v="Kolkata"/>
    <n v="94"/>
    <n v="7"/>
    <n v="4767"/>
    <n v="39709.11"/>
    <n v="0.1596638655462185"/>
    <n v="6340.1100000000006"/>
  </r>
  <r>
    <s v="ORD0149"/>
    <s v="2024-03-27"/>
    <x v="10"/>
    <s v="Rahul Verma"/>
    <s v="East"/>
    <s v="Electronics"/>
    <s v="Laptop"/>
    <s v="Laptop Dell"/>
    <s v="Croma"/>
    <s v="Hyderabad"/>
    <n v="16"/>
    <n v="14"/>
    <n v="37290"/>
    <n v="636913.19999999995"/>
    <n v="0.18032786885245897"/>
    <n v="114853.19999999995"/>
  </r>
  <r>
    <s v="ORD0150"/>
    <s v="2024-08-15"/>
    <x v="5"/>
    <s v="Amit Sharma"/>
    <s v="East"/>
    <s v="Furniture"/>
    <s v="Chair"/>
    <s v="Office Chair"/>
    <s v="IKEA"/>
    <s v="Hyderabad"/>
    <n v="41"/>
    <n v="8"/>
    <n v="1712"/>
    <n v="16298.24"/>
    <n v="0.15966386554621848"/>
    <n v="2602.2399999999998"/>
  </r>
  <r>
    <s v="ORD0151"/>
    <s v="2024-03-19"/>
    <x v="10"/>
    <s v="Anjali Mehta"/>
    <s v="South"/>
    <s v="Electronics"/>
    <s v="Laptop"/>
    <s v="Laptop Dell"/>
    <s v="Croma"/>
    <s v="Bangalore"/>
    <n v="10"/>
    <n v="10"/>
    <n v="32270"/>
    <n v="393694"/>
    <n v="0.18032786885245902"/>
    <n v="70994"/>
  </r>
  <r>
    <s v="ORD0152"/>
    <s v="2024-05-14"/>
    <x v="2"/>
    <s v="Anjali Mehta"/>
    <s v="West"/>
    <s v="Electronics"/>
    <s v="Mobile"/>
    <s v="iPhone"/>
    <s v="Croma"/>
    <s v="Delhi"/>
    <n v="89"/>
    <n v="1"/>
    <n v="145800"/>
    <n v="177876"/>
    <n v="0.18032786885245902"/>
    <n v="32076"/>
  </r>
  <r>
    <s v="ORD0153"/>
    <s v="2024-07-02"/>
    <x v="4"/>
    <s v="Anjali Mehta"/>
    <s v="East"/>
    <s v="Furniture"/>
    <s v="Table"/>
    <s v="Wooden Table"/>
    <s v="IKEA"/>
    <s v="Delhi"/>
    <n v="35"/>
    <n v="9"/>
    <n v="25660"/>
    <n v="274818.59999999998"/>
    <n v="0.15966386554621842"/>
    <n v="43878.599999999977"/>
  </r>
  <r>
    <s v="ORD0154"/>
    <s v="2024-06-02"/>
    <x v="7"/>
    <s v="Rahul Verma"/>
    <s v="North"/>
    <s v="Clothing"/>
    <s v="Women Wear"/>
    <s v="Jeans"/>
    <s v="Big Bazaar"/>
    <s v="Mumbai"/>
    <n v="53"/>
    <n v="20"/>
    <n v="1450"/>
    <n v="33350"/>
    <n v="0.13043478260869565"/>
    <n v="4350"/>
  </r>
  <r>
    <s v="ORD0155"/>
    <s v="2024-08-12"/>
    <x v="5"/>
    <s v="Anjali Mehta"/>
    <s v="South"/>
    <s v="Electronics"/>
    <s v="Accessories"/>
    <s v="Samsung TV"/>
    <s v="Croma"/>
    <s v="Bangalore"/>
    <n v="26"/>
    <n v="14"/>
    <n v="166000"/>
    <n v="2835280"/>
    <n v="0.18032786885245902"/>
    <n v="511280"/>
  </r>
  <r>
    <s v="ORD0156"/>
    <s v="2024-04-16"/>
    <x v="1"/>
    <s v="Anjali Mehta"/>
    <s v="East"/>
    <s v="Electronics"/>
    <s v="Mobile"/>
    <s v="iPhone"/>
    <s v="Croma"/>
    <s v="Kolkata"/>
    <n v="97"/>
    <n v="1"/>
    <n v="98700"/>
    <n v="120414"/>
    <n v="0.18032786885245902"/>
    <n v="21714"/>
  </r>
  <r>
    <s v="ORD0157"/>
    <s v="2024-07-30"/>
    <x v="4"/>
    <s v="Anjali Mehta"/>
    <s v="South"/>
    <s v="Electronics"/>
    <s v="Mobile"/>
    <s v="iPhone"/>
    <s v="Croma"/>
    <s v="Mumbai"/>
    <n v="24"/>
    <n v="8"/>
    <n v="465000"/>
    <n v="4538400"/>
    <n v="0.18032786885245902"/>
    <n v="818400"/>
  </r>
  <r>
    <s v="ORD0158"/>
    <s v="2024-11-16"/>
    <x v="6"/>
    <s v="Amit Sharma"/>
    <s v="East"/>
    <s v="Clothing"/>
    <s v="Women Wear"/>
    <s v="Jeans"/>
    <s v="Big Bazaar"/>
    <s v="Delhi"/>
    <n v="87"/>
    <n v="20"/>
    <n v="1500"/>
    <n v="34500"/>
    <n v="0.13043478260869565"/>
    <n v="4500"/>
  </r>
  <r>
    <s v="ORD0159"/>
    <s v="2024-05-07"/>
    <x v="2"/>
    <s v="Amit Sharma"/>
    <s v="East"/>
    <s v="Clothing"/>
    <s v="Women Wear"/>
    <s v="Jeans"/>
    <s v="Big Bazaar"/>
    <s v="Bangalore"/>
    <n v="96"/>
    <n v="6"/>
    <n v="1550"/>
    <n v="10695"/>
    <n v="0.13043478260869565"/>
    <n v="1395"/>
  </r>
  <r>
    <s v="ORD0160"/>
    <s v="2024-06-09"/>
    <x v="7"/>
    <s v="Anjali Mehta"/>
    <s v="West"/>
    <s v="Furniture"/>
    <s v="Table"/>
    <s v="Wooden Table"/>
    <s v="IKEA"/>
    <s v="Bangalore"/>
    <n v="39"/>
    <n v="11"/>
    <n v="9910"/>
    <n v="129721.9"/>
    <n v="0.15966386554621845"/>
    <n v="20711.899999999994"/>
  </r>
  <r>
    <s v="ORD0161"/>
    <s v="2024-07-05"/>
    <x v="4"/>
    <s v="Priya Singh"/>
    <s v="North"/>
    <s v="Furniture"/>
    <s v="Table"/>
    <s v="Wooden Table"/>
    <s v="IKEA"/>
    <s v="Hyderabad"/>
    <n v="25"/>
    <n v="7"/>
    <n v="48000"/>
    <n v="399840"/>
    <n v="0.15966386554621848"/>
    <n v="63840"/>
  </r>
  <r>
    <s v="ORD0162"/>
    <s v="2024-01-19"/>
    <x v="8"/>
    <s v="Rohit Das"/>
    <s v="West"/>
    <s v="Furniture"/>
    <s v="Chair"/>
    <s v="Office Chair"/>
    <s v="IKEA"/>
    <s v="Delhi"/>
    <n v="73"/>
    <n v="18"/>
    <n v="3590"/>
    <n v="76897.8"/>
    <n v="0.15966386554621853"/>
    <n v="12277.800000000003"/>
  </r>
  <r>
    <s v="ORD0163"/>
    <s v="2024-02-10"/>
    <x v="9"/>
    <s v="Rohit Das"/>
    <s v="North"/>
    <s v="Clothing"/>
    <s v="Women Wear"/>
    <s v="Jeans"/>
    <s v="Big Bazaar"/>
    <s v="Bangalore"/>
    <n v="86"/>
    <n v="9"/>
    <n v="3598"/>
    <n v="37239.300000000003"/>
    <n v="0.13043478260869573"/>
    <n v="4857.3000000000029"/>
  </r>
  <r>
    <s v="ORD0164"/>
    <s v="2024-11-25"/>
    <x v="6"/>
    <s v="Neha Gupta"/>
    <s v="East"/>
    <s v="Furniture"/>
    <s v="Chair"/>
    <s v="Office Chair"/>
    <s v="IKEA"/>
    <s v="Delhi"/>
    <n v="89"/>
    <n v="9"/>
    <n v="1277"/>
    <n v="13676.67"/>
    <n v="0.1596638655462185"/>
    <n v="2183.67"/>
  </r>
  <r>
    <s v="ORD0165"/>
    <s v="2024-11-20"/>
    <x v="6"/>
    <s v="Neha Gupta"/>
    <s v="East"/>
    <s v="Electronics"/>
    <s v="Mobile"/>
    <s v="iPhone"/>
    <s v="Reliance Digital"/>
    <s v="Delhi"/>
    <n v="86"/>
    <n v="15"/>
    <n v="156580"/>
    <n v="2865414"/>
    <n v="0.18032786885245902"/>
    <n v="516714"/>
  </r>
  <r>
    <s v="ORD0166"/>
    <s v="2024-09-28"/>
    <x v="3"/>
    <s v="Neha Gupta"/>
    <s v="West"/>
    <s v="Electronics"/>
    <s v="Mobile"/>
    <s v="iPhone"/>
    <s v="Reliance Digital"/>
    <s v="Delhi"/>
    <n v="76"/>
    <n v="13"/>
    <n v="158440"/>
    <n v="2512858.4"/>
    <n v="0.18032786885245899"/>
    <n v="453138.39999999991"/>
  </r>
  <r>
    <s v="ORD0167"/>
    <s v="2024-01-28"/>
    <x v="8"/>
    <s v="Neha Gupta"/>
    <s v="North"/>
    <s v="Electronics"/>
    <s v="Accessories"/>
    <s v="Samsung TV"/>
    <s v="Reliance Digital"/>
    <s v="Hyderabad"/>
    <n v="40"/>
    <n v="11"/>
    <n v="249200"/>
    <n v="3344264"/>
    <n v="0.18032786885245902"/>
    <n v="603064"/>
  </r>
  <r>
    <s v="ORD0168"/>
    <s v="2024-02-04"/>
    <x v="9"/>
    <s v="Priya Singh"/>
    <s v="East"/>
    <s v="Furniture"/>
    <s v="Chair"/>
    <s v="Office Chair"/>
    <s v="IKEA"/>
    <s v="Delhi"/>
    <n v="70"/>
    <n v="7"/>
    <n v="2640"/>
    <n v="21991.200000000001"/>
    <n v="0.1596638655462185"/>
    <n v="3511.2000000000007"/>
  </r>
  <r>
    <s v="ORD0169"/>
    <s v="2024-08-22"/>
    <x v="5"/>
    <s v="Priya Singh"/>
    <s v="North"/>
    <s v="Furniture"/>
    <s v="Chair"/>
    <s v="Office Chair"/>
    <s v="IKEA"/>
    <s v="Hyderabad"/>
    <n v="52"/>
    <n v="20"/>
    <n v="2959"/>
    <n v="70424.2"/>
    <n v="0.15966386554621845"/>
    <n v="11244.199999999997"/>
  </r>
  <r>
    <s v="ORD0170"/>
    <s v="2024-10-01"/>
    <x v="0"/>
    <s v="Priya Singh"/>
    <s v="North"/>
    <s v="Electronics"/>
    <s v="Mobile"/>
    <s v="iPhone"/>
    <s v="Reliance Digital"/>
    <s v="Mumbai"/>
    <n v="91"/>
    <n v="2"/>
    <n v="148370"/>
    <n v="362022.8"/>
    <n v="0.18032786885245899"/>
    <n v="65282.799999999988"/>
  </r>
  <r>
    <s v="ORD0171"/>
    <s v="2024-05-22"/>
    <x v="2"/>
    <s v="Rohit Das"/>
    <s v="South"/>
    <s v="Clothing"/>
    <s v="Women Wear"/>
    <s v="Jeans"/>
    <s v="Big Bazaar"/>
    <s v="Mumbai"/>
    <n v="67"/>
    <n v="17"/>
    <n v="2461"/>
    <n v="48112.55"/>
    <n v="0.1304347826086957"/>
    <n v="6275.5500000000029"/>
  </r>
  <r>
    <s v="ORD0172"/>
    <s v="2024-08-19"/>
    <x v="5"/>
    <s v="Neha Gupta"/>
    <s v="East"/>
    <s v="Clothing"/>
    <s v="Men Wear"/>
    <s v="T-shirt"/>
    <s v="Big Bazaar"/>
    <s v="Bangalore"/>
    <n v="10"/>
    <n v="11"/>
    <n v="2253"/>
    <n v="28500.45"/>
    <n v="0.13043478260869568"/>
    <n v="3717.4500000000007"/>
  </r>
  <r>
    <s v="ORD0173"/>
    <s v="2024-11-10"/>
    <x v="6"/>
    <s v="Anjali Mehta"/>
    <s v="South"/>
    <s v="Furniture"/>
    <s v="Table"/>
    <s v="Wooden Table"/>
    <s v="IKEA"/>
    <s v="Kolkata"/>
    <n v="0"/>
    <n v="17"/>
    <n v="20170"/>
    <n v="408039.1"/>
    <n v="0.15966386554621845"/>
    <n v="65149.099999999977"/>
  </r>
  <r>
    <s v="ORD0174"/>
    <s v="2024-09-29"/>
    <x v="3"/>
    <s v="Priya Singh"/>
    <s v="West"/>
    <s v="Clothing"/>
    <s v="Men Wear"/>
    <s v="T-shirt"/>
    <s v="Big Bazaar"/>
    <s v="Kolkata"/>
    <n v="78"/>
    <n v="16"/>
    <n v="3149"/>
    <n v="57941.599999999999"/>
    <n v="0.13043478260869562"/>
    <n v="7557.5999999999985"/>
  </r>
  <r>
    <s v="ORD0175"/>
    <s v="2024-10-30"/>
    <x v="0"/>
    <s v="Amit Sharma"/>
    <s v="East"/>
    <s v="Electronics"/>
    <s v="Laptop"/>
    <s v="Laptop Dell"/>
    <s v="Croma"/>
    <s v="Mumbai"/>
    <n v="24"/>
    <n v="9"/>
    <n v="43960"/>
    <n v="482680.8"/>
    <n v="0.18032786885245899"/>
    <n v="87040.799999999988"/>
  </r>
  <r>
    <s v="ORD0176"/>
    <s v="2024-05-27"/>
    <x v="2"/>
    <s v="Anjali Mehta"/>
    <s v="North"/>
    <s v="Clothing"/>
    <s v="Women Wear"/>
    <s v="Jeans"/>
    <s v="Big Bazaar"/>
    <s v="Kolkata"/>
    <n v="33"/>
    <n v="17"/>
    <n v="3428"/>
    <n v="67017.399999999994"/>
    <n v="0.13043478260869557"/>
    <n v="8741.3999999999942"/>
  </r>
  <r>
    <s v="ORD0177"/>
    <s v="2024-01-19"/>
    <x v="8"/>
    <s v="Neha Gupta"/>
    <s v="South"/>
    <s v="Clothing"/>
    <s v="Men Wear"/>
    <s v="T-shirt"/>
    <s v="Pantaloons"/>
    <s v="Mumbai"/>
    <n v="49"/>
    <n v="16"/>
    <n v="1278"/>
    <n v="23515.200000000001"/>
    <n v="0.13043478260869568"/>
    <n v="3067.2000000000007"/>
  </r>
  <r>
    <s v="ORD0178"/>
    <s v="2024-05-11"/>
    <x v="2"/>
    <s v="Anjali Mehta"/>
    <s v="East"/>
    <s v="Electronics"/>
    <s v="Laptop"/>
    <s v="Laptop Dell"/>
    <s v="Reliance Digital"/>
    <s v="Hyderabad"/>
    <n v="67"/>
    <n v="4"/>
    <n v="27470"/>
    <n v="134053.6"/>
    <n v="0.18032786885245905"/>
    <n v="24173.600000000006"/>
  </r>
  <r>
    <s v="ORD0179"/>
    <s v="2024-07-21"/>
    <x v="4"/>
    <s v="Amit Sharma"/>
    <s v="North"/>
    <s v="Furniture"/>
    <s v="Chair"/>
    <s v="Office Chair"/>
    <s v="IKEA"/>
    <s v="Hyderabad"/>
    <n v="89"/>
    <n v="7"/>
    <n v="4715"/>
    <n v="39275.949999999997"/>
    <n v="0.15966386554621842"/>
    <n v="6270.9499999999971"/>
  </r>
  <r>
    <s v="ORD0180"/>
    <s v="2024-10-02"/>
    <x v="0"/>
    <s v="Anjali Mehta"/>
    <s v="North"/>
    <s v="Clothing"/>
    <s v="Women Wear"/>
    <s v="Jeans"/>
    <s v="Big Bazaar"/>
    <s v="Bangalore"/>
    <n v="57"/>
    <n v="3"/>
    <n v="1125"/>
    <n v="3881.25"/>
    <n v="0.13043478260869565"/>
    <n v="506.25"/>
  </r>
  <r>
    <s v="ORD0181"/>
    <s v="2024-03-20"/>
    <x v="10"/>
    <s v="Anjali Mehta"/>
    <s v="North"/>
    <s v="Electronics"/>
    <s v="Mobile"/>
    <s v="iPhone"/>
    <s v="Reliance Digital"/>
    <s v="Bangalore"/>
    <n v="55"/>
    <n v="2"/>
    <n v="155550"/>
    <n v="379542"/>
    <n v="0.18032786885245902"/>
    <n v="68442"/>
  </r>
  <r>
    <s v="ORD0182"/>
    <s v="2024-11-26"/>
    <x v="6"/>
    <s v="Rohit Das"/>
    <s v="West"/>
    <s v="Electronics"/>
    <s v="Accessories"/>
    <s v="Samsung TV"/>
    <s v="Reliance Digital"/>
    <s v="Mumbai"/>
    <n v="48"/>
    <n v="20"/>
    <n v="25370"/>
    <n v="619028"/>
    <n v="0.18032786885245902"/>
    <n v="111628"/>
  </r>
  <r>
    <s v="ORD0183"/>
    <s v="2024-01-18"/>
    <x v="8"/>
    <s v="Anjali Mehta"/>
    <s v="West"/>
    <s v="Furniture"/>
    <s v="Table"/>
    <s v="Wooden Table"/>
    <s v="IKEA"/>
    <s v="Mumbai"/>
    <n v="0"/>
    <n v="16"/>
    <n v="27780"/>
    <n v="528931.19999999995"/>
    <n v="0.15966386554621842"/>
    <n v="84451.199999999953"/>
  </r>
  <r>
    <s v="ORD0184"/>
    <s v="2024-12-18"/>
    <x v="11"/>
    <s v="Amit Sharma"/>
    <s v="East"/>
    <s v="Electronics"/>
    <s v="Mobile"/>
    <s v="iPhone"/>
    <s v="Reliance Digital"/>
    <s v="Mumbai"/>
    <n v="84"/>
    <n v="13"/>
    <n v="66660"/>
    <n v="1057227.6000000001"/>
    <n v="0.18032786885245908"/>
    <n v="190647.60000000009"/>
  </r>
  <r>
    <s v="ORD0185"/>
    <s v="2024-11-27"/>
    <x v="6"/>
    <s v="Anjali Mehta"/>
    <s v="East"/>
    <s v="Electronics"/>
    <s v="Accessories"/>
    <s v="Samsung TV"/>
    <s v="Reliance Digital"/>
    <s v="Kolkata"/>
    <n v="82"/>
    <n v="10"/>
    <n v="38600"/>
    <n v="470920"/>
    <n v="0.18032786885245902"/>
    <n v="84920"/>
  </r>
  <r>
    <s v="ORD0186"/>
    <s v="2024-10-06"/>
    <x v="0"/>
    <s v="Priya Singh"/>
    <s v="East"/>
    <s v="Electronics"/>
    <s v="Laptop"/>
    <s v="Laptop Dell"/>
    <s v="Reliance Digital"/>
    <s v="Delhi"/>
    <n v="72"/>
    <n v="1"/>
    <n v="40750"/>
    <n v="49715"/>
    <n v="0.18032786885245902"/>
    <n v="8965"/>
  </r>
  <r>
    <s v="ORD0187"/>
    <s v="2024-03-16"/>
    <x v="10"/>
    <s v="Priya Singh"/>
    <s v="East"/>
    <s v="Electronics"/>
    <s v="Mobile"/>
    <s v="iPhone"/>
    <s v="Reliance Digital"/>
    <s v="Bangalore"/>
    <n v="0"/>
    <n v="2"/>
    <n v="148110"/>
    <n v="361388.4"/>
    <n v="0.18032786885245908"/>
    <n v="65168.400000000023"/>
  </r>
  <r>
    <s v="ORD0188"/>
    <s v="2024-11-29"/>
    <x v="6"/>
    <s v="Priya Singh"/>
    <s v="East"/>
    <s v="Furniture"/>
    <s v="Table"/>
    <s v="Wooden Table"/>
    <s v="IKEA"/>
    <s v="Bangalore"/>
    <n v="10"/>
    <n v="12"/>
    <n v="27830"/>
    <n v="397412.4"/>
    <n v="0.15966386554621853"/>
    <n v="63452.400000000023"/>
  </r>
  <r>
    <s v="ORD0189"/>
    <s v="2024-10-26"/>
    <x v="0"/>
    <s v="Priya Singh"/>
    <s v="West"/>
    <s v="Furniture"/>
    <s v="Chair"/>
    <s v="Office Chair"/>
    <s v="IKEA"/>
    <s v="Kolkata"/>
    <n v="95"/>
    <n v="8"/>
    <n v="4826"/>
    <n v="45943.520000000004"/>
    <n v="0.15966386554621856"/>
    <n v="7335.5200000000041"/>
  </r>
  <r>
    <s v="ORD0190"/>
    <s v="2024-10-31"/>
    <x v="0"/>
    <s v="Anjali Mehta"/>
    <s v="South"/>
    <s v="Furniture"/>
    <s v="Chair"/>
    <s v="Office Chair"/>
    <s v="IKEA"/>
    <s v="Hyderabad"/>
    <n v="45"/>
    <n v="10"/>
    <n v="1200"/>
    <n v="14280"/>
    <n v="0.15966386554621848"/>
    <n v="2280"/>
  </r>
  <r>
    <s v="ORD0191"/>
    <s v="2024-05-09"/>
    <x v="2"/>
    <s v="Rahul Verma"/>
    <s v="South"/>
    <s v="Clothing"/>
    <s v="Men Wear"/>
    <s v="T-shirt"/>
    <s v="Big Bazaar"/>
    <s v="Mumbai"/>
    <n v="66"/>
    <n v="8"/>
    <n v="545"/>
    <n v="5014"/>
    <n v="0.13043478260869565"/>
    <n v="654"/>
  </r>
  <r>
    <s v="ORD0192"/>
    <s v="2024-03-12"/>
    <x v="10"/>
    <s v="Amit Sharma"/>
    <s v="North"/>
    <s v="Clothing"/>
    <s v="Women Wear"/>
    <s v="Jeans"/>
    <s v="Big Bazaar"/>
    <s v="Bangalore"/>
    <n v="13"/>
    <n v="12"/>
    <n v="1135"/>
    <n v="15663"/>
    <n v="0.13043478260869565"/>
    <n v="2043"/>
  </r>
  <r>
    <s v="ORD0193"/>
    <s v="2024-02-04"/>
    <x v="9"/>
    <s v="Rohit Das"/>
    <s v="South"/>
    <s v="Furniture"/>
    <s v="Table"/>
    <s v="Wooden Table"/>
    <s v="IKEA"/>
    <s v="Delhi"/>
    <n v="67"/>
    <n v="8"/>
    <n v="10290"/>
    <n v="97960.8"/>
    <n v="0.1596638655462185"/>
    <n v="15640.800000000003"/>
  </r>
  <r>
    <s v="ORD0194"/>
    <s v="2024-03-07"/>
    <x v="10"/>
    <s v="Amit Sharma"/>
    <s v="East"/>
    <s v="Electronics"/>
    <s v="Accessories"/>
    <s v="Samsung TV"/>
    <s v="Reliance Digital"/>
    <s v="Mumbai"/>
    <n v="66"/>
    <n v="4"/>
    <n v="26600"/>
    <n v="129808"/>
    <n v="0.18032786885245902"/>
    <n v="23408"/>
  </r>
  <r>
    <s v="ORD0195"/>
    <s v="2024-10-24"/>
    <x v="0"/>
    <s v="Anjali Mehta"/>
    <s v="North"/>
    <s v="Electronics"/>
    <s v="Mobile"/>
    <s v="iPhone"/>
    <s v="Croma"/>
    <s v="Bangalore"/>
    <n v="36"/>
    <n v="5"/>
    <n v="142450"/>
    <n v="868945"/>
    <n v="0.18032786885245902"/>
    <n v="156695"/>
  </r>
  <r>
    <s v="ORD0196"/>
    <s v="2024-06-17"/>
    <x v="7"/>
    <s v="Rohit Das"/>
    <s v="East"/>
    <s v="Electronics"/>
    <s v="Laptop"/>
    <s v="Laptop Dell"/>
    <s v="Reliance Digital"/>
    <s v="Bangalore"/>
    <n v="90"/>
    <n v="11"/>
    <n v="58960"/>
    <n v="791243.2"/>
    <n v="0.18032786885245897"/>
    <n v="142683.19999999995"/>
  </r>
  <r>
    <s v="ORD0197"/>
    <s v="2024-08-29"/>
    <x v="5"/>
    <s v="Priya Singh"/>
    <s v="West"/>
    <s v="Clothing"/>
    <s v="Women Wear"/>
    <s v="Jeans"/>
    <s v="Big Bazaar"/>
    <s v="Hyderabad"/>
    <n v="64"/>
    <n v="18"/>
    <n v="3502"/>
    <n v="72491.399999999994"/>
    <n v="0.13043478260869559"/>
    <n v="9455.3999999999942"/>
  </r>
  <r>
    <s v="ORD0198"/>
    <s v="2024-08-30"/>
    <x v="5"/>
    <s v="Anjali Mehta"/>
    <s v="West"/>
    <s v="Electronics"/>
    <s v="Laptop"/>
    <s v="Laptop Dell"/>
    <s v="Croma"/>
    <s v="Delhi"/>
    <n v="60"/>
    <n v="20"/>
    <n v="40290"/>
    <n v="983076"/>
    <n v="0.18032786885245902"/>
    <n v="177276"/>
  </r>
  <r>
    <s v="ORD0199"/>
    <s v="2024-09-25"/>
    <x v="3"/>
    <s v="Rohit Das"/>
    <s v="North"/>
    <s v="Electronics"/>
    <s v="Laptop"/>
    <s v="Laptop Dell"/>
    <s v="Croma"/>
    <s v="Mumbai"/>
    <n v="17"/>
    <n v="7"/>
    <n v="654440"/>
    <n v="5588917.5999999996"/>
    <n v="0.18032786885245897"/>
    <n v="1007837.5999999996"/>
  </r>
  <r>
    <s v="ORD0200"/>
    <s v="2024-08-30"/>
    <x v="5"/>
    <s v="Priya Singh"/>
    <s v="North"/>
    <s v="Electronics"/>
    <s v="Accessories"/>
    <s v="Samsung TV"/>
    <s v="Reliance Digital"/>
    <s v="Bangalore"/>
    <n v="99"/>
    <n v="8"/>
    <n v="166200"/>
    <n v="1622112"/>
    <n v="0.18032786885245902"/>
    <n v="292512"/>
  </r>
  <r>
    <s v="ORD0201"/>
    <s v="2024-02-17"/>
    <x v="9"/>
    <s v="Rohit Das"/>
    <s v="North"/>
    <s v="Furniture"/>
    <s v="Chair"/>
    <s v="Office Chair"/>
    <s v="IKEA"/>
    <s v="Hyderabad"/>
    <n v="50"/>
    <n v="13"/>
    <n v="4583"/>
    <n v="70899.009999999995"/>
    <n v="0.15966386554621842"/>
    <n v="11320.009999999995"/>
  </r>
  <r>
    <s v="ORD0202"/>
    <s v="2024-07-09"/>
    <x v="4"/>
    <s v="Neha Gupta"/>
    <s v="North"/>
    <s v="Clothing"/>
    <s v="Men Wear"/>
    <s v="T-shirt"/>
    <s v="Big Bazaar"/>
    <s v="Bangalore"/>
    <n v="33"/>
    <n v="17"/>
    <n v="3819"/>
    <n v="74661.45"/>
    <n v="0.13043478260869562"/>
    <n v="9738.4499999999971"/>
  </r>
  <r>
    <s v="ORD0203"/>
    <s v="2024-12-26"/>
    <x v="11"/>
    <s v="Anjali Mehta"/>
    <s v="North"/>
    <s v="Electronics"/>
    <s v="Laptop"/>
    <s v="Laptop Dell"/>
    <s v="Reliance Digital"/>
    <s v="Hyderabad"/>
    <n v="51"/>
    <n v="17"/>
    <n v="36400"/>
    <n v="754936"/>
    <n v="0.18032786885245902"/>
    <n v="136136"/>
  </r>
  <r>
    <s v="ORD0204"/>
    <s v="2024-05-06"/>
    <x v="2"/>
    <s v="Neha Gupta"/>
    <s v="East"/>
    <s v="Furniture"/>
    <s v="Chair"/>
    <s v="Office Chair"/>
    <s v="IKEA"/>
    <s v="Hyderabad"/>
    <n v="35"/>
    <n v="12"/>
    <n v="4691"/>
    <n v="66987.48"/>
    <n v="0.15966386554621845"/>
    <n v="10695.479999999996"/>
  </r>
  <r>
    <s v="ORD0205"/>
    <s v="2024-07-16"/>
    <x v="4"/>
    <s v="Rohit Das"/>
    <s v="East"/>
    <s v="Electronics"/>
    <s v="Accessories"/>
    <s v="Samsung TV"/>
    <s v="Reliance Digital"/>
    <s v="Hyderabad"/>
    <n v="25"/>
    <n v="17"/>
    <n v="137200"/>
    <n v="2845528"/>
    <n v="0.18032786885245902"/>
    <n v="513128"/>
  </r>
  <r>
    <s v="ORD0206"/>
    <s v="2024-08-02"/>
    <x v="5"/>
    <s v="Rohit Das"/>
    <s v="South"/>
    <s v="Electronics"/>
    <s v="Laptop"/>
    <s v="Laptop Dell"/>
    <s v="Reliance Digital"/>
    <s v="Hyderabad"/>
    <n v="42"/>
    <n v="6"/>
    <n v="45300"/>
    <n v="331596"/>
    <n v="0.18032786885245902"/>
    <n v="59796"/>
  </r>
  <r>
    <s v="ORD0207"/>
    <s v="2024-02-08"/>
    <x v="9"/>
    <s v="Rahul Verma"/>
    <s v="North"/>
    <s v="Electronics"/>
    <s v="Laptop"/>
    <s v="Laptop Dell"/>
    <s v="Reliance Digital"/>
    <s v="Kolkata"/>
    <n v="6"/>
    <n v="17"/>
    <n v="30520"/>
    <n v="632984.80000000005"/>
    <n v="0.18032786885245908"/>
    <n v="114144.80000000005"/>
  </r>
  <r>
    <s v="ORD0208"/>
    <s v="2024-01-09"/>
    <x v="8"/>
    <s v="Priya Singh"/>
    <s v="West"/>
    <s v="Electronics"/>
    <s v="Accessories"/>
    <s v="Samsung TV"/>
    <s v="Reliance Digital"/>
    <s v="Delhi"/>
    <n v="78"/>
    <n v="17"/>
    <n v="28900"/>
    <n v="599386"/>
    <n v="0.18032786885245902"/>
    <n v="108086"/>
  </r>
  <r>
    <s v="ORD0209"/>
    <s v="2024-12-16"/>
    <x v="11"/>
    <s v="Priya Singh"/>
    <s v="East"/>
    <s v="Furniture"/>
    <s v="Chair"/>
    <s v="Office Chair"/>
    <s v="IKEA"/>
    <s v="Kolkata"/>
    <n v="75"/>
    <n v="6"/>
    <n v="1219"/>
    <n v="8703.66"/>
    <n v="0.15966386554621848"/>
    <n v="1389.6599999999999"/>
  </r>
  <r>
    <s v="ORD0210"/>
    <s v="2024-11-07"/>
    <x v="6"/>
    <s v="Rohit Das"/>
    <s v="East"/>
    <s v="Electronics"/>
    <s v="Mobile"/>
    <s v="iPhone"/>
    <s v="Reliance Digital"/>
    <s v="Hyderabad"/>
    <n v="59"/>
    <n v="16"/>
    <n v="359700"/>
    <n v="7021344"/>
    <n v="0.18032786885245902"/>
    <n v="1266144"/>
  </r>
  <r>
    <s v="ORD0211"/>
    <s v="2024-04-14"/>
    <x v="1"/>
    <s v="Anjali Mehta"/>
    <s v="West"/>
    <s v="Clothing"/>
    <s v="Women Wear"/>
    <s v="Jeans"/>
    <s v="Pantaloons"/>
    <s v="Mumbai"/>
    <n v="3"/>
    <n v="5"/>
    <n v="4670"/>
    <n v="26852.5"/>
    <n v="0.13043478260869565"/>
    <n v="3502.5"/>
  </r>
  <r>
    <s v="ORD0212"/>
    <s v="2024-01-12"/>
    <x v="8"/>
    <s v="Rahul Verma"/>
    <s v="West"/>
    <s v="Furniture"/>
    <s v="Table"/>
    <s v="Wooden Table"/>
    <s v="IKEA"/>
    <s v="Delhi"/>
    <n v="44"/>
    <n v="11"/>
    <n v="14990"/>
    <n v="196219.1"/>
    <n v="0.1596638655462185"/>
    <n v="31329.100000000006"/>
  </r>
  <r>
    <s v="ORD0213"/>
    <s v="2024-08-24"/>
    <x v="5"/>
    <s v="Priya Singh"/>
    <s v="North"/>
    <s v="Clothing"/>
    <s v="Men Wear"/>
    <s v="T-shirt"/>
    <s v="Big Bazaar"/>
    <s v="Bangalore"/>
    <n v="75"/>
    <n v="19"/>
    <n v="1370"/>
    <n v="29934.5"/>
    <n v="0.13043478260869565"/>
    <n v="3904.5"/>
  </r>
  <r>
    <s v="ORD0214"/>
    <s v="2024-02-15"/>
    <x v="9"/>
    <s v="Anjali Mehta"/>
    <s v="South"/>
    <s v="Electronics"/>
    <s v="Laptop"/>
    <s v="Laptop Dell"/>
    <s v="Reliance Digital"/>
    <s v="Mumbai"/>
    <n v="53"/>
    <n v="5"/>
    <n v="41870"/>
    <n v="255407"/>
    <n v="0.18032786885245902"/>
    <n v="46057"/>
  </r>
  <r>
    <s v="ORD0215"/>
    <s v="2024-06-12"/>
    <x v="7"/>
    <s v="Neha Gupta"/>
    <s v="North"/>
    <s v="Furniture"/>
    <s v="Chair"/>
    <s v="Office Chair"/>
    <s v="IKEA"/>
    <s v="Delhi"/>
    <n v="22"/>
    <n v="18"/>
    <n v="1166"/>
    <n v="24975.72"/>
    <n v="0.15966386554621853"/>
    <n v="3987.7200000000012"/>
  </r>
  <r>
    <s v="ORD0216"/>
    <s v="2024-05-02"/>
    <x v="2"/>
    <s v="Amit Sharma"/>
    <s v="South"/>
    <s v="Electronics"/>
    <s v="Mobile"/>
    <s v="iPhone"/>
    <s v="Reliance Digital"/>
    <s v="Delhi"/>
    <n v="74"/>
    <n v="12"/>
    <n v="144440"/>
    <n v="2114601.6"/>
    <n v="0.18032786885245905"/>
    <n v="381321.60000000009"/>
  </r>
  <r>
    <s v="ORD0217"/>
    <s v="2024-09-13"/>
    <x v="3"/>
    <s v="Neha Gupta"/>
    <s v="East"/>
    <s v="Furniture"/>
    <s v="Chair"/>
    <s v="Office Chair"/>
    <s v="IKEA"/>
    <s v="Bangalore"/>
    <n v="60"/>
    <n v="13"/>
    <n v="985"/>
    <n v="15237.95"/>
    <n v="0.15966386554621853"/>
    <n v="2432.9500000000007"/>
  </r>
  <r>
    <s v="ORD0218"/>
    <s v="2024-03-26"/>
    <x v="10"/>
    <s v="Rohit Das"/>
    <s v="North"/>
    <s v="Electronics"/>
    <s v="Laptop"/>
    <s v="Laptop Dell"/>
    <s v="Reliance Digital"/>
    <s v="Mumbai"/>
    <n v="7"/>
    <n v="13"/>
    <n v="36620"/>
    <n v="580793.19999999995"/>
    <n v="0.18032786885245894"/>
    <n v="104733.19999999995"/>
  </r>
  <r>
    <s v="ORD0219"/>
    <s v="2024-04-18"/>
    <x v="1"/>
    <s v="Priya Singh"/>
    <s v="West"/>
    <s v="Clothing"/>
    <s v="Men Wear"/>
    <s v="T-shirt"/>
    <s v="Big Bazaar"/>
    <s v="Bangalore"/>
    <n v="15"/>
    <n v="7"/>
    <n v="535"/>
    <n v="4306.75"/>
    <n v="0.13043478260869565"/>
    <n v="561.75"/>
  </r>
  <r>
    <s v="ORD0220"/>
    <s v="2024-09-07"/>
    <x v="3"/>
    <s v="Rahul Verma"/>
    <s v="East"/>
    <s v="Furniture"/>
    <s v="Table"/>
    <s v="Wooden Table"/>
    <s v="IKEA"/>
    <s v="Delhi"/>
    <n v="22"/>
    <n v="4"/>
    <n v="15190"/>
    <n v="72304.399999999994"/>
    <n v="0.15966386554621842"/>
    <n v="11544.399999999994"/>
  </r>
  <r>
    <s v="ORD0221"/>
    <s v="2024-02-10"/>
    <x v="9"/>
    <s v="Anjali Mehta"/>
    <s v="South"/>
    <s v="Electronics"/>
    <s v="Laptop"/>
    <s v="Laptop Dell"/>
    <s v="Reliance Digital"/>
    <s v="Hyderabad"/>
    <n v="21"/>
    <n v="20"/>
    <n v="37540"/>
    <n v="915976"/>
    <n v="0.18032786885245902"/>
    <n v="165176"/>
  </r>
  <r>
    <s v="ORD0222"/>
    <s v="2024-01-30"/>
    <x v="8"/>
    <s v="Rahul Verma"/>
    <s v="West"/>
    <s v="Electronics"/>
    <s v="Laptop"/>
    <s v="Laptop Dell"/>
    <s v="Reliance Digital"/>
    <s v="Hyderabad"/>
    <n v="45"/>
    <n v="8"/>
    <n v="21540"/>
    <n v="210230.39999999999"/>
    <n v="0.18032786885245899"/>
    <n v="37910.399999999994"/>
  </r>
  <r>
    <s v="ORD0223"/>
    <s v="2024-10-04"/>
    <x v="0"/>
    <s v="Neha Gupta"/>
    <s v="East"/>
    <s v="Electronics"/>
    <s v="Laptop"/>
    <s v="Laptop Dell"/>
    <s v="Croma"/>
    <s v="Kolkata"/>
    <n v="25"/>
    <n v="18"/>
    <n v="44870"/>
    <n v="985345.2"/>
    <n v="0.18032786885245897"/>
    <n v="177685.19999999995"/>
  </r>
  <r>
    <s v="ORD0224"/>
    <s v="2024-07-17"/>
    <x v="4"/>
    <s v="Rohit Das"/>
    <s v="East"/>
    <s v="Furniture"/>
    <s v="Table"/>
    <s v="Wooden Table"/>
    <s v="IKEA"/>
    <s v="Delhi"/>
    <n v="76"/>
    <n v="3"/>
    <n v="35270"/>
    <n v="125913.9"/>
    <n v="0.15966386554621845"/>
    <n v="20103.899999999994"/>
  </r>
  <r>
    <s v="ORD0225"/>
    <s v="2024-02-12"/>
    <x v="9"/>
    <s v="Priya Singh"/>
    <s v="West"/>
    <s v="Furniture"/>
    <s v="Chair"/>
    <s v="Office Chair"/>
    <s v="IKEA"/>
    <s v="Hyderabad"/>
    <n v="53"/>
    <n v="18"/>
    <n v="3011"/>
    <n v="64495.62"/>
    <n v="0.15966386554621853"/>
    <n v="10297.620000000003"/>
  </r>
  <r>
    <s v="ORD0226"/>
    <s v="2024-02-22"/>
    <x v="9"/>
    <s v="Neha Gupta"/>
    <s v="South"/>
    <s v="Electronics"/>
    <s v="Mobile"/>
    <s v="iPhone"/>
    <s v="Reliance Digital"/>
    <s v="Kolkata"/>
    <n v="61"/>
    <n v="1"/>
    <n v="144540"/>
    <n v="176338.8"/>
    <n v="0.18032786885245897"/>
    <n v="31798.799999999988"/>
  </r>
  <r>
    <s v="ORD0227"/>
    <s v="2024-04-16"/>
    <x v="1"/>
    <s v="Anjali Mehta"/>
    <s v="West"/>
    <s v="Furniture"/>
    <s v="Chair"/>
    <s v="Office Chair"/>
    <s v="IKEA"/>
    <s v="Hyderabad"/>
    <n v="50"/>
    <n v="20"/>
    <n v="2083"/>
    <n v="49575.4"/>
    <n v="0.1596638655462185"/>
    <n v="7915.4000000000015"/>
  </r>
  <r>
    <s v="ORD0228"/>
    <s v="2024-12-08"/>
    <x v="11"/>
    <s v="Priya Singh"/>
    <s v="East"/>
    <s v="Electronics"/>
    <s v="Laptop"/>
    <s v="Laptop Dell"/>
    <s v="Reliance Digital"/>
    <s v="Hyderabad"/>
    <n v="10"/>
    <n v="16"/>
    <n v="56666"/>
    <n v="1106120.32"/>
    <n v="0.18032786885245908"/>
    <n v="199464.32000000007"/>
  </r>
  <r>
    <s v="ORD0229"/>
    <s v="2024-04-25"/>
    <x v="1"/>
    <s v="Neha Gupta"/>
    <s v="North"/>
    <s v="Furniture"/>
    <s v="Table"/>
    <s v="Wooden Table"/>
    <s v="IKEA"/>
    <s v="Delhi"/>
    <n v="43"/>
    <n v="5"/>
    <n v="11290"/>
    <n v="67175.5"/>
    <n v="0.15966386554621848"/>
    <n v="10725.5"/>
  </r>
  <r>
    <s v="ORD0230"/>
    <s v="2024-07-23"/>
    <x v="4"/>
    <s v="Neha Gupta"/>
    <s v="South"/>
    <s v="Electronics"/>
    <s v="Mobile"/>
    <s v="iPhone"/>
    <s v="Croma"/>
    <s v="Bangalore"/>
    <n v="39"/>
    <n v="2"/>
    <n v="139480"/>
    <n v="340331.2"/>
    <n v="0.18032786885245905"/>
    <n v="61371.200000000012"/>
  </r>
  <r>
    <s v="ORD0231"/>
    <s v="2024-05-14"/>
    <x v="2"/>
    <s v="Neha Gupta"/>
    <s v="North"/>
    <s v="Clothing"/>
    <s v="Men Wear"/>
    <s v="T-shirt"/>
    <s v="Big Bazaar"/>
    <s v="Mumbai"/>
    <n v="0"/>
    <n v="15"/>
    <n v="858"/>
    <n v="14800.5"/>
    <n v="0.13043478260869565"/>
    <n v="1930.5"/>
  </r>
  <r>
    <s v="ORD0232"/>
    <s v="2024-03-04"/>
    <x v="10"/>
    <s v="Anjali Mehta"/>
    <s v="West"/>
    <s v="Clothing"/>
    <s v="Men Wear"/>
    <s v="T-shirt"/>
    <s v="Big Bazaar"/>
    <s v="Mumbai"/>
    <n v="91"/>
    <n v="12"/>
    <n v="3706"/>
    <n v="51142.8"/>
    <n v="0.1304347826086957"/>
    <n v="6670.8000000000029"/>
  </r>
  <r>
    <s v="ORD0233"/>
    <s v="2024-12-20"/>
    <x v="11"/>
    <s v="Amit Sharma"/>
    <s v="South"/>
    <s v="Electronics"/>
    <s v="Accessories"/>
    <s v="Samsung TV"/>
    <s v="Reliance Digital"/>
    <s v="Bangalore"/>
    <n v="65"/>
    <n v="8"/>
    <n v="34170"/>
    <n v="333499.2"/>
    <n v="0.18032786885245905"/>
    <n v="60139.200000000012"/>
  </r>
  <r>
    <s v="ORD0234"/>
    <s v="2024-05-21"/>
    <x v="2"/>
    <s v="Anjali Mehta"/>
    <s v="North"/>
    <s v="Electronics"/>
    <s v="Laptop"/>
    <s v="Laptop Dell"/>
    <s v="Reliance Digital"/>
    <s v="Hyderabad"/>
    <n v="3"/>
    <n v="15"/>
    <n v="78950"/>
    <n v="1444785"/>
    <n v="0.18032786885245902"/>
    <n v="260535"/>
  </r>
  <r>
    <s v="ORD0235"/>
    <s v="2024-03-19"/>
    <x v="10"/>
    <s v="Neha Gupta"/>
    <s v="West"/>
    <s v="Clothing"/>
    <s v="Men Wear"/>
    <s v="T-shirt"/>
    <s v="Big Bazaar"/>
    <s v="Delhi"/>
    <n v="33"/>
    <n v="10"/>
    <n v="4337"/>
    <n v="49875.5"/>
    <n v="0.13043478260869565"/>
    <n v="6505.5"/>
  </r>
  <r>
    <s v="ORD0236"/>
    <s v="2024-09-03"/>
    <x v="3"/>
    <s v="Anjali Mehta"/>
    <s v="North"/>
    <s v="Furniture"/>
    <s v="Table"/>
    <s v="Wooden Table"/>
    <s v="IKEA"/>
    <s v="Kolkata"/>
    <n v="40"/>
    <n v="5"/>
    <n v="32140"/>
    <n v="191233"/>
    <n v="0.15966386554621848"/>
    <n v="30533"/>
  </r>
  <r>
    <s v="ORD0237"/>
    <s v="2024-07-31"/>
    <x v="4"/>
    <s v="Neha Gupta"/>
    <s v="South"/>
    <s v="Clothing"/>
    <s v="Women Wear"/>
    <s v="Jeans"/>
    <s v="Big Bazaar"/>
    <s v="Bangalore"/>
    <n v="89"/>
    <n v="9"/>
    <n v="4289"/>
    <n v="44391.15"/>
    <n v="0.13043478260869568"/>
    <n v="5790.1500000000015"/>
  </r>
  <r>
    <s v="ORD0238"/>
    <s v="2024-02-15"/>
    <x v="9"/>
    <s v="Rahul Verma"/>
    <s v="East"/>
    <s v="Furniture"/>
    <s v="Table"/>
    <s v="Wooden Table"/>
    <s v="IKEA"/>
    <s v="Hyderabad"/>
    <n v="20"/>
    <n v="6"/>
    <n v="36200"/>
    <n v="258468"/>
    <n v="0.15966386554621848"/>
    <n v="41268"/>
  </r>
  <r>
    <s v="ORD0239"/>
    <s v="2024-08-20"/>
    <x v="5"/>
    <s v="Rohit Das"/>
    <s v="North"/>
    <s v="Electronics"/>
    <s v="Accessories"/>
    <s v="Samsung TV"/>
    <s v="Croma"/>
    <s v="Bangalore"/>
    <n v="8"/>
    <n v="19"/>
    <n v="28300"/>
    <n v="655994"/>
    <n v="0.18032786885245902"/>
    <n v="118294"/>
  </r>
  <r>
    <s v="ORD0240"/>
    <s v="2024-03-25"/>
    <x v="10"/>
    <s v="Neha Gupta"/>
    <s v="East"/>
    <s v="Clothing"/>
    <s v="Women Wear"/>
    <s v="Jeans"/>
    <s v="Big Bazaar"/>
    <s v="Hyderabad"/>
    <n v="30"/>
    <n v="20"/>
    <n v="2655"/>
    <n v="61065"/>
    <n v="0.13043478260869565"/>
    <n v="7965"/>
  </r>
  <r>
    <s v="ORD0241"/>
    <s v="2024-09-11"/>
    <x v="3"/>
    <s v="Priya Singh"/>
    <s v="West"/>
    <s v="Clothing"/>
    <s v="Men Wear"/>
    <s v="T-shirt"/>
    <s v="Big Bazaar"/>
    <s v="Hyderabad"/>
    <n v="6"/>
    <n v="2"/>
    <n v="3931"/>
    <n v="9041.2999999999993"/>
    <n v="0.13043478260869559"/>
    <n v="1179.2999999999993"/>
  </r>
  <r>
    <s v="ORD0242"/>
    <s v="2024-01-16"/>
    <x v="8"/>
    <s v="Anjali Mehta"/>
    <s v="East"/>
    <s v="Electronics"/>
    <s v="Laptop"/>
    <s v="Laptop Dell"/>
    <s v="Croma"/>
    <s v="Mumbai"/>
    <n v="67"/>
    <n v="20"/>
    <n v="38210"/>
    <n v="932324"/>
    <n v="0.18032786885245902"/>
    <n v="168124"/>
  </r>
  <r>
    <s v="ORD0243"/>
    <s v="2024-04-25"/>
    <x v="1"/>
    <s v="Amit Sharma"/>
    <s v="West"/>
    <s v="Clothing"/>
    <s v="Women Wear"/>
    <s v="Jeans"/>
    <s v="Pantaloons"/>
    <s v="Delhi"/>
    <n v="45"/>
    <n v="10"/>
    <n v="1861"/>
    <n v="21401.5"/>
    <n v="0.13043478260869565"/>
    <n v="2791.5"/>
  </r>
  <r>
    <s v="ORD0244"/>
    <s v="2024-08-23"/>
    <x v="5"/>
    <s v="Priya Singh"/>
    <s v="South"/>
    <s v="Electronics"/>
    <s v="Mobile"/>
    <s v="iPhone"/>
    <s v="Croma"/>
    <s v="Bangalore"/>
    <n v="40"/>
    <n v="13"/>
    <n v="138000"/>
    <n v="2188680"/>
    <n v="0.18032786885245902"/>
    <n v="394680"/>
  </r>
  <r>
    <s v="ORD0245"/>
    <s v="2024-07-15"/>
    <x v="4"/>
    <s v="Rahul Verma"/>
    <s v="North"/>
    <s v="Clothing"/>
    <s v="Men Wear"/>
    <s v="T-shirt"/>
    <s v="Big Bazaar"/>
    <s v="Mumbai"/>
    <n v="38"/>
    <n v="6"/>
    <n v="1558"/>
    <n v="10750.2"/>
    <n v="0.1304347826086957"/>
    <n v="1402.2000000000007"/>
  </r>
  <r>
    <s v="ORD0246"/>
    <s v="2024-11-17"/>
    <x v="6"/>
    <s v="Anjali Mehta"/>
    <s v="South"/>
    <s v="Electronics"/>
    <s v="Laptop"/>
    <s v="Laptop Dell"/>
    <s v="Croma"/>
    <s v="Bangalore"/>
    <n v="55"/>
    <n v="2"/>
    <n v="65555"/>
    <n v="159954.20000000001"/>
    <n v="0.18032786885245908"/>
    <n v="28844.200000000012"/>
  </r>
  <r>
    <s v="ORD0247"/>
    <s v="2024-07-11"/>
    <x v="4"/>
    <s v="Rahul Verma"/>
    <s v="East"/>
    <s v="Clothing"/>
    <s v="Men Wear"/>
    <s v="T-shirt"/>
    <s v="Big Bazaar"/>
    <s v="Bangalore"/>
    <n v="62"/>
    <n v="11"/>
    <n v="665"/>
    <n v="8412.25"/>
    <n v="0.13043478260869565"/>
    <n v="1097.25"/>
  </r>
  <r>
    <s v="ORD0248"/>
    <s v="2024-08-23"/>
    <x v="5"/>
    <s v="Rahul Verma"/>
    <s v="North"/>
    <s v="Clothing"/>
    <s v="Men Wear"/>
    <s v="T-shirt"/>
    <s v="Big Bazaar"/>
    <s v="Kolkata"/>
    <n v="27"/>
    <n v="10"/>
    <n v="4603"/>
    <n v="52934.5"/>
    <n v="0.13043478260869565"/>
    <n v="6904.5"/>
  </r>
  <r>
    <s v="ORD0249"/>
    <s v="2024-04-06"/>
    <x v="1"/>
    <s v="Anjali Mehta"/>
    <s v="North"/>
    <s v="Electronics"/>
    <s v="Accessories"/>
    <s v="Samsung TV"/>
    <s v="Reliance Digital"/>
    <s v="Mumbai"/>
    <n v="73"/>
    <n v="2"/>
    <n v="147400"/>
    <n v="359656"/>
    <n v="0.18032786885245902"/>
    <n v="64856"/>
  </r>
  <r>
    <s v="ORD0250"/>
    <s v="2024-03-12"/>
    <x v="10"/>
    <s v="Rahul Verma"/>
    <s v="North"/>
    <s v="Electronics"/>
    <s v="Laptop"/>
    <s v="Laptop Dell"/>
    <s v="Reliance Digital"/>
    <s v="Bangalore"/>
    <n v="57"/>
    <n v="3"/>
    <n v="77770"/>
    <n v="284638.2"/>
    <n v="0.18032786885245905"/>
    <n v="51328.200000000012"/>
  </r>
  <r>
    <s v="ORD0251"/>
    <s v="2024-12-29"/>
    <x v="11"/>
    <s v="Amit Sharma"/>
    <s v="South"/>
    <s v="Electronics"/>
    <s v="Accessories"/>
    <s v="Samsung TV"/>
    <s v="Croma"/>
    <s v="Bangalore"/>
    <n v="44"/>
    <n v="18"/>
    <n v="99700"/>
    <n v="2189412"/>
    <n v="0.18032786885245902"/>
    <n v="394812"/>
  </r>
  <r>
    <s v="ORD0252"/>
    <s v="2024-09-26"/>
    <x v="3"/>
    <s v="Amit Sharma"/>
    <s v="South"/>
    <s v="Furniture"/>
    <s v="Table"/>
    <s v="Wooden Table"/>
    <s v="IKEA"/>
    <s v="Bangalore"/>
    <n v="16"/>
    <n v="19"/>
    <n v="14530"/>
    <n v="328523.3"/>
    <n v="0.15966386554621845"/>
    <n v="52453.299999999988"/>
  </r>
  <r>
    <s v="ORD0253"/>
    <s v="2024-10-17"/>
    <x v="0"/>
    <s v="Anjali Mehta"/>
    <s v="North"/>
    <s v="Electronics"/>
    <s v="Accessories"/>
    <s v="Samsung TV"/>
    <s v="Croma"/>
    <s v="Kolkata"/>
    <n v="80"/>
    <n v="3"/>
    <n v="38970"/>
    <n v="142630.20000000001"/>
    <n v="0.18032786885245908"/>
    <n v="25720.200000000012"/>
  </r>
  <r>
    <s v="ORD0254"/>
    <s v="2024-01-05"/>
    <x v="8"/>
    <s v="Rahul Verma"/>
    <s v="South"/>
    <s v="Furniture"/>
    <s v="Chair"/>
    <s v="Office Chair"/>
    <s v="IKEA"/>
    <s v="Bangalore"/>
    <n v="37"/>
    <n v="20"/>
    <n v="4095"/>
    <n v="97461"/>
    <n v="0.15966386554621848"/>
    <n v="15561"/>
  </r>
  <r>
    <s v="ORD0255"/>
    <s v="2024-08-12"/>
    <x v="5"/>
    <s v="Rohit Das"/>
    <s v="North"/>
    <s v="Electronics"/>
    <s v="Laptop"/>
    <s v="Laptop Dell"/>
    <s v="Croma"/>
    <s v="Delhi"/>
    <n v="88"/>
    <n v="2"/>
    <n v="88880"/>
    <n v="216867.20000000001"/>
    <n v="0.18032786885245905"/>
    <n v="39107.200000000012"/>
  </r>
  <r>
    <s v="ORD0256"/>
    <s v="2024-07-22"/>
    <x v="4"/>
    <s v="Rohit Das"/>
    <s v="South"/>
    <s v="Clothing"/>
    <s v="Men Wear"/>
    <s v="T-shirt"/>
    <s v="Big Bazaar"/>
    <s v="Kolkata"/>
    <n v="82"/>
    <n v="11"/>
    <n v="4043"/>
    <n v="51143.95"/>
    <n v="0.13043478260869559"/>
    <n v="6670.9499999999971"/>
  </r>
  <r>
    <s v="ORD0257"/>
    <s v="2024-12-22"/>
    <x v="11"/>
    <s v="Rohit Das"/>
    <s v="North"/>
    <s v="Furniture"/>
    <s v="Chair"/>
    <s v="Office Chair"/>
    <s v="IKEA"/>
    <s v="Hyderabad"/>
    <n v="44"/>
    <n v="5"/>
    <n v="2424"/>
    <n v="14422.8"/>
    <n v="0.15966386554621845"/>
    <n v="2302.7999999999993"/>
  </r>
  <r>
    <s v="ORD0258"/>
    <s v="2024-03-19"/>
    <x v="10"/>
    <s v="Priya Singh"/>
    <s v="East"/>
    <s v="Clothing"/>
    <s v="Women Wear"/>
    <s v="Jeans"/>
    <s v="Pantaloons"/>
    <s v="Mumbai"/>
    <n v="89"/>
    <n v="15"/>
    <n v="1659"/>
    <n v="28617.75"/>
    <n v="0.13043478260869565"/>
    <n v="3732.75"/>
  </r>
  <r>
    <s v="ORD0259"/>
    <s v="2024-10-25"/>
    <x v="0"/>
    <s v="Neha Gupta"/>
    <s v="South"/>
    <s v="Furniture"/>
    <s v="Chair"/>
    <s v="Office Chair"/>
    <s v="IKEA"/>
    <s v="Hyderabad"/>
    <n v="58"/>
    <n v="4"/>
    <n v="2991"/>
    <n v="14237.16"/>
    <n v="0.15966386554621848"/>
    <n v="2273.16"/>
  </r>
  <r>
    <s v="ORD0260"/>
    <s v="2024-04-04"/>
    <x v="1"/>
    <s v="Priya Singh"/>
    <s v="East"/>
    <s v="Electronics"/>
    <s v="Accessories"/>
    <s v="Samsung TV"/>
    <s v="Croma"/>
    <s v="Mumbai"/>
    <n v="88"/>
    <n v="8"/>
    <n v="162500"/>
    <n v="1586000"/>
    <n v="0.18032786885245902"/>
    <n v="286000"/>
  </r>
  <r>
    <s v="ORD0261"/>
    <s v="2024-02-15"/>
    <x v="9"/>
    <s v="Anjali Mehta"/>
    <s v="West"/>
    <s v="Electronics"/>
    <s v="Mobile"/>
    <s v="iPhone"/>
    <s v="Croma"/>
    <s v="Hyderabad"/>
    <n v="85"/>
    <n v="13"/>
    <n v="85200"/>
    <n v="1351272"/>
    <n v="0.18032786885245902"/>
    <n v="243672"/>
  </r>
  <r>
    <s v="ORD0262"/>
    <s v="2024-11-11"/>
    <x v="6"/>
    <s v="Rahul Verma"/>
    <s v="South"/>
    <s v="Furniture"/>
    <s v="Table"/>
    <s v="Wooden Table"/>
    <s v="IKEA"/>
    <s v="Hyderabad"/>
    <n v="73"/>
    <n v="17"/>
    <n v="18600"/>
    <n v="376278"/>
    <n v="0.15966386554621848"/>
    <n v="60078"/>
  </r>
  <r>
    <s v="ORD0263"/>
    <s v="2024-03-20"/>
    <x v="10"/>
    <s v="Rahul Verma"/>
    <s v="North"/>
    <s v="Furniture"/>
    <s v="Chair"/>
    <s v="Office Chair"/>
    <s v="IKEA"/>
    <s v="Kolkata"/>
    <n v="80"/>
    <n v="1"/>
    <n v="4485"/>
    <n v="5337.15"/>
    <n v="0.15966386554621842"/>
    <n v="852.14999999999964"/>
  </r>
  <r>
    <s v="ORD0264"/>
    <s v="2024-02-29"/>
    <x v="9"/>
    <s v="Priya Singh"/>
    <s v="South"/>
    <s v="Electronics"/>
    <s v="Laptop"/>
    <s v="Laptop Dell"/>
    <s v="Croma"/>
    <s v="Bangalore"/>
    <n v="51"/>
    <n v="13"/>
    <n v="99999"/>
    <n v="1585984.1400000001"/>
    <n v="0.18032786885245908"/>
    <n v="285997.14000000013"/>
  </r>
  <r>
    <s v="ORD0265"/>
    <s v="2024-12-05"/>
    <x v="11"/>
    <s v="Priya Singh"/>
    <s v="West"/>
    <s v="Electronics"/>
    <s v="Accessories"/>
    <s v="Samsung TV"/>
    <s v="Croma"/>
    <s v="Kolkata"/>
    <n v="11"/>
    <n v="14"/>
    <n v="92300"/>
    <n v="1576484"/>
    <n v="0.18032786885245902"/>
    <n v="284284"/>
  </r>
  <r>
    <s v="ORD0266"/>
    <s v="2024-11-17"/>
    <x v="6"/>
    <s v="Neha Gupta"/>
    <s v="South"/>
    <s v="Electronics"/>
    <s v="Accessories"/>
    <s v="Samsung TV"/>
    <s v="Croma"/>
    <s v="Delhi"/>
    <n v="92"/>
    <n v="14"/>
    <n v="161900"/>
    <n v="2765252"/>
    <n v="0.18032786885245902"/>
    <n v="498652"/>
  </r>
  <r>
    <s v="ORD0267"/>
    <s v="2024-07-19"/>
    <x v="4"/>
    <s v="Rohit Das"/>
    <s v="South"/>
    <s v="Electronics"/>
    <s v="Mobile"/>
    <s v="iPhone"/>
    <s v="Reliance Digital"/>
    <s v="Hyderabad"/>
    <n v="94"/>
    <n v="6"/>
    <n v="450200"/>
    <n v="3295464"/>
    <n v="0.18032786885245902"/>
    <n v="594264"/>
  </r>
  <r>
    <s v="ORD0268"/>
    <s v="2024-07-13"/>
    <x v="4"/>
    <s v="Anjali Mehta"/>
    <s v="West"/>
    <s v="Electronics"/>
    <s v="Laptop"/>
    <s v="Laptop Dell"/>
    <s v="Croma"/>
    <s v="Bangalore"/>
    <n v="51"/>
    <n v="11"/>
    <n v="23270"/>
    <n v="312283.40000000002"/>
    <n v="0.18032786885245908"/>
    <n v="56313.400000000023"/>
  </r>
  <r>
    <s v="ORD0269"/>
    <s v="2024-12-14"/>
    <x v="11"/>
    <s v="Amit Sharma"/>
    <s v="East"/>
    <s v="Clothing"/>
    <s v="Women Wear"/>
    <s v="Jeans"/>
    <s v="Big Bazaar"/>
    <s v="Kolkata"/>
    <n v="71"/>
    <n v="15"/>
    <n v="2410"/>
    <n v="41572.5"/>
    <n v="0.13043478260869565"/>
    <n v="5422.5"/>
  </r>
  <r>
    <s v="ORD0270"/>
    <s v="2024-12-15"/>
    <x v="11"/>
    <s v="Priya Singh"/>
    <s v="South"/>
    <s v="Electronics"/>
    <s v="Accessories"/>
    <s v="Samsung TV"/>
    <s v="Croma"/>
    <s v="Kolkata"/>
    <n v="85"/>
    <n v="2"/>
    <n v="60100"/>
    <n v="146644"/>
    <n v="0.18032786885245902"/>
    <n v="26444"/>
  </r>
  <r>
    <s v="ORD0271"/>
    <s v="2024-06-16"/>
    <x v="7"/>
    <s v="Rahul Verma"/>
    <s v="East"/>
    <s v="Electronics"/>
    <s v="Mobile"/>
    <s v="iPhone"/>
    <s v="Croma"/>
    <s v="Delhi"/>
    <n v="7"/>
    <n v="2"/>
    <n v="69000"/>
    <n v="168360"/>
    <n v="0.18032786885245902"/>
    <n v="30360"/>
  </r>
  <r>
    <s v="ORD0272"/>
    <s v="2024-10-14"/>
    <x v="0"/>
    <s v="Neha Gupta"/>
    <s v="North"/>
    <s v="Clothing"/>
    <s v="Men Wear"/>
    <s v="T-shirt"/>
    <s v="Big Bazaar"/>
    <s v="Kolkata"/>
    <n v="96"/>
    <n v="16"/>
    <n v="4520"/>
    <n v="83168"/>
    <n v="0.13043478260869565"/>
    <n v="10848"/>
  </r>
  <r>
    <s v="ORD0273"/>
    <s v="2024-07-10"/>
    <x v="4"/>
    <s v="Amit Sharma"/>
    <s v="East"/>
    <s v="Furniture"/>
    <s v="Table"/>
    <s v="Wooden Table"/>
    <s v="IKEA"/>
    <s v="Hyderabad"/>
    <n v="36"/>
    <n v="14"/>
    <n v="45600"/>
    <n v="759696"/>
    <n v="0.15966386554621848"/>
    <n v="121296"/>
  </r>
  <r>
    <s v="ORD0274"/>
    <s v="2024-04-30"/>
    <x v="1"/>
    <s v="Neha Gupta"/>
    <s v="South"/>
    <s v="Clothing"/>
    <s v="Men Wear"/>
    <s v="T-shirt"/>
    <s v="Pantaloons"/>
    <s v="Hyderabad"/>
    <n v="12"/>
    <n v="6"/>
    <n v="780"/>
    <n v="5382"/>
    <n v="0.13043478260869565"/>
    <n v="702"/>
  </r>
  <r>
    <s v="ORD0275"/>
    <s v="2024-12-04"/>
    <x v="11"/>
    <s v="Neha Gupta"/>
    <s v="East"/>
    <s v="Clothing"/>
    <s v="Women Wear"/>
    <s v="Jeans"/>
    <s v="Big Bazaar"/>
    <s v="Kolkata"/>
    <n v="53"/>
    <n v="15"/>
    <n v="3118"/>
    <n v="53785.5"/>
    <n v="0.13043478260869565"/>
    <n v="7015.5"/>
  </r>
  <r>
    <s v="ORD0276"/>
    <s v="2024-06-30"/>
    <x v="7"/>
    <s v="Neha Gupta"/>
    <s v="West"/>
    <s v="Electronics"/>
    <s v="Laptop"/>
    <s v="Laptop Dell"/>
    <s v="Croma"/>
    <s v="Bangalore"/>
    <n v="61"/>
    <n v="8"/>
    <n v="43230"/>
    <n v="421924.8"/>
    <n v="0.18032786885245899"/>
    <n v="76084.799999999988"/>
  </r>
  <r>
    <s v="ORD0277"/>
    <s v="2024-04-04"/>
    <x v="1"/>
    <s v="Priya Singh"/>
    <s v="South"/>
    <s v="Electronics"/>
    <s v="Accessories"/>
    <s v="Samsung TV"/>
    <s v="Croma"/>
    <s v="Hyderabad"/>
    <n v="47"/>
    <n v="9"/>
    <n v="31250"/>
    <n v="343125"/>
    <n v="0.18032786885245902"/>
    <n v="61875"/>
  </r>
  <r>
    <s v="ORD0278"/>
    <s v="2024-05-10"/>
    <x v="2"/>
    <s v="Rahul Verma"/>
    <s v="North"/>
    <s v="Clothing"/>
    <s v="Women Wear"/>
    <s v="Jeans"/>
    <s v="Big Bazaar"/>
    <s v="Mumbai"/>
    <n v="88"/>
    <n v="11"/>
    <n v="3796"/>
    <n v="48019.4"/>
    <n v="0.13043478260869568"/>
    <n v="6263.4000000000015"/>
  </r>
  <r>
    <s v="ORD0279"/>
    <s v="2024-12-13"/>
    <x v="11"/>
    <s v="Neha Gupta"/>
    <s v="West"/>
    <s v="Clothing"/>
    <s v="Men Wear"/>
    <s v="T-shirt"/>
    <s v="Big Bazaar"/>
    <s v="Delhi"/>
    <n v="43"/>
    <n v="1"/>
    <n v="1678"/>
    <n v="1929.7"/>
    <n v="0.13043478260869568"/>
    <n v="251.70000000000005"/>
  </r>
  <r>
    <s v="ORD0280"/>
    <s v="2024-01-05"/>
    <x v="8"/>
    <s v="Rohit Das"/>
    <s v="East"/>
    <s v="Furniture"/>
    <s v="Chair"/>
    <s v="Office Chair"/>
    <s v="IKEA"/>
    <s v="Kolkata"/>
    <n v="81"/>
    <n v="6"/>
    <n v="2068"/>
    <n v="14765.52"/>
    <n v="0.1596638655462185"/>
    <n v="2357.5200000000004"/>
  </r>
  <r>
    <s v="ORD0281"/>
    <s v="2024-12-13"/>
    <x v="11"/>
    <s v="Amit Sharma"/>
    <s v="South"/>
    <s v="Furniture"/>
    <s v="Table"/>
    <s v="Wooden Table"/>
    <s v="IKEA"/>
    <s v="Mumbai"/>
    <n v="79"/>
    <n v="12"/>
    <n v="23290"/>
    <n v="332581.2"/>
    <n v="0.1596638655462185"/>
    <n v="53101.200000000012"/>
  </r>
  <r>
    <s v="ORD0282"/>
    <s v="2024-08-22"/>
    <x v="5"/>
    <s v="Priya Singh"/>
    <s v="East"/>
    <s v="Clothing"/>
    <s v="Men Wear"/>
    <s v="T-shirt"/>
    <s v="Pantaloons"/>
    <s v="Bangalore"/>
    <n v="73"/>
    <n v="11"/>
    <n v="1113"/>
    <n v="14079.45"/>
    <n v="0.1304347826086957"/>
    <n v="1836.4500000000007"/>
  </r>
  <r>
    <s v="ORD0283"/>
    <s v="2024-08-14"/>
    <x v="5"/>
    <s v="Amit Sharma"/>
    <s v="East"/>
    <s v="Clothing"/>
    <s v="Women Wear"/>
    <s v="Jeans"/>
    <s v="Pantaloons"/>
    <s v="Mumbai"/>
    <n v="64"/>
    <n v="17"/>
    <n v="1369"/>
    <n v="26763.95"/>
    <n v="0.13043478260869568"/>
    <n v="3490.9500000000007"/>
  </r>
  <r>
    <s v="ORD0284"/>
    <s v="2024-05-06"/>
    <x v="2"/>
    <s v="Rohit Das"/>
    <s v="West"/>
    <s v="Electronics"/>
    <s v="Accessories"/>
    <s v="Samsung TV"/>
    <s v="Croma"/>
    <s v="Kolkata"/>
    <n v="13"/>
    <n v="2"/>
    <n v="26210"/>
    <n v="63952.4"/>
    <n v="0.18032786885245902"/>
    <n v="11532.400000000001"/>
  </r>
  <r>
    <s v="ORD0285"/>
    <s v="2024-03-10"/>
    <x v="10"/>
    <s v="Priya Singh"/>
    <s v="South"/>
    <s v="Electronics"/>
    <s v="Laptop"/>
    <s v="Laptop Dell"/>
    <s v="Croma"/>
    <s v="Kolkata"/>
    <n v="26"/>
    <n v="7"/>
    <n v="26040"/>
    <n v="222381.6"/>
    <n v="0.18032786885245905"/>
    <n v="40101.600000000006"/>
  </r>
  <r>
    <s v="ORD0286"/>
    <s v="2024-12-22"/>
    <x v="11"/>
    <s v="Rahul Verma"/>
    <s v="West"/>
    <s v="Electronics"/>
    <s v="Mobile"/>
    <s v="iPhone"/>
    <s v="Croma"/>
    <s v="Mumbai"/>
    <n v="35"/>
    <n v="9"/>
    <n v="145720"/>
    <n v="1600005.6"/>
    <n v="0.18032786885245908"/>
    <n v="288525.60000000009"/>
  </r>
  <r>
    <s v="ORD0287"/>
    <s v="2024-11-28"/>
    <x v="6"/>
    <s v="Amit Sharma"/>
    <s v="South"/>
    <s v="Electronics"/>
    <s v="Laptop"/>
    <s v="Laptop Dell"/>
    <s v="Croma"/>
    <s v="Hyderabad"/>
    <n v="2"/>
    <n v="8"/>
    <n v="30200"/>
    <n v="294752"/>
    <n v="0.18032786885245902"/>
    <n v="53152"/>
  </r>
  <r>
    <s v="ORD0288"/>
    <s v="2024-11-28"/>
    <x v="6"/>
    <s v="Rahul Verma"/>
    <s v="South"/>
    <s v="Clothing"/>
    <s v="Women Wear"/>
    <s v="Jeans"/>
    <s v="Big Bazaar"/>
    <s v="Hyderabad"/>
    <n v="4"/>
    <n v="9"/>
    <n v="1165"/>
    <n v="12057.75"/>
    <n v="0.13043478260869565"/>
    <n v="1572.75"/>
  </r>
  <r>
    <s v="ORD0289"/>
    <s v="2024-07-22"/>
    <x v="4"/>
    <s v="Priya Singh"/>
    <s v="East"/>
    <s v="Electronics"/>
    <s v="Laptop"/>
    <s v="Laptop Dell"/>
    <s v="Croma"/>
    <s v="Delhi"/>
    <n v="92"/>
    <n v="10"/>
    <n v="78900"/>
    <n v="962580"/>
    <n v="0.18032786885245902"/>
    <n v="173580"/>
  </r>
  <r>
    <s v="ORD0290"/>
    <s v="2024-01-09"/>
    <x v="8"/>
    <s v="Amit Sharma"/>
    <s v="South"/>
    <s v="Furniture"/>
    <s v="Chair"/>
    <s v="Office Chair"/>
    <s v="IKEA"/>
    <s v="Mumbai"/>
    <n v="57"/>
    <n v="7"/>
    <n v="2488"/>
    <n v="20725.04"/>
    <n v="0.15966386554621853"/>
    <n v="3309.0400000000009"/>
  </r>
  <r>
    <s v="ORD0291"/>
    <s v="2024-04-08"/>
    <x v="1"/>
    <s v="Rahul Verma"/>
    <s v="North"/>
    <s v="Electronics"/>
    <s v="Accessories"/>
    <s v="Samsung TV"/>
    <s v="Reliance Digital"/>
    <s v="Kolkata"/>
    <n v="35"/>
    <n v="11"/>
    <n v="32790"/>
    <n v="440041.8"/>
    <n v="0.18032786885245899"/>
    <n v="79351.799999999988"/>
  </r>
  <r>
    <s v="ORD0292"/>
    <s v="2024-04-22"/>
    <x v="1"/>
    <s v="Priya Singh"/>
    <s v="North"/>
    <s v="Clothing"/>
    <s v="Women Wear"/>
    <s v="Jeans"/>
    <s v="Pantaloons"/>
    <s v="Kolkata"/>
    <n v="33"/>
    <n v="10"/>
    <n v="4151"/>
    <n v="47736.5"/>
    <n v="0.13043478260869565"/>
    <n v="6226.5"/>
  </r>
  <r>
    <s v="ORD0293"/>
    <s v="2024-01-18"/>
    <x v="8"/>
    <s v="Priya Singh"/>
    <s v="West"/>
    <s v="Clothing"/>
    <s v="Women Wear"/>
    <s v="Jeans"/>
    <s v="Pantaloons"/>
    <s v="Hyderabad"/>
    <n v="12"/>
    <n v="12"/>
    <n v="4864"/>
    <n v="67123.199999999997"/>
    <n v="0.13043478260869562"/>
    <n v="8755.1999999999971"/>
  </r>
  <r>
    <s v="ORD0294"/>
    <s v="2024-10-22"/>
    <x v="0"/>
    <s v="Anjali Mehta"/>
    <s v="East"/>
    <s v="Clothing"/>
    <s v="Women Wear"/>
    <s v="Jeans"/>
    <s v="Pantaloons"/>
    <s v="Hyderabad"/>
    <n v="89"/>
    <n v="8"/>
    <n v="1800"/>
    <n v="16560"/>
    <n v="0.13043478260869565"/>
    <n v="2160"/>
  </r>
  <r>
    <s v="ORD0295"/>
    <s v="2024-04-18"/>
    <x v="1"/>
    <s v="Amit Sharma"/>
    <s v="West"/>
    <s v="Clothing"/>
    <s v="Women Wear"/>
    <s v="Jeans"/>
    <s v="Pantaloons"/>
    <s v="Hyderabad"/>
    <n v="13"/>
    <n v="6"/>
    <n v="785"/>
    <n v="5416.5"/>
    <n v="0.13043478260869565"/>
    <n v="706.5"/>
  </r>
  <r>
    <s v="ORD0296"/>
    <s v="2024-04-26"/>
    <x v="1"/>
    <s v="Anjali Mehta"/>
    <s v="South"/>
    <s v="Electronics"/>
    <s v="Mobile"/>
    <s v="iPhone"/>
    <s v="Croma"/>
    <s v="Mumbai"/>
    <n v="79"/>
    <n v="14"/>
    <n v="95000"/>
    <n v="1622600"/>
    <n v="0.18032786885245902"/>
    <n v="292600"/>
  </r>
  <r>
    <s v="ORD0297"/>
    <s v="2024-08-16"/>
    <x v="5"/>
    <s v="Amit Sharma"/>
    <s v="North"/>
    <s v="Furniture"/>
    <s v="Table"/>
    <s v="Wooden Table"/>
    <s v="IKEA"/>
    <s v="Kolkata"/>
    <n v="15"/>
    <n v="18"/>
    <n v="31300"/>
    <n v="670446"/>
    <n v="0.15966386554621848"/>
    <n v="107046"/>
  </r>
  <r>
    <s v="ORD0298"/>
    <s v="2024-02-19"/>
    <x v="9"/>
    <s v="Rohit Das"/>
    <s v="North"/>
    <s v="Furniture"/>
    <s v="Table"/>
    <s v="Wooden Table"/>
    <s v="IKEA"/>
    <s v="Mumbai"/>
    <n v="50"/>
    <n v="13"/>
    <n v="30000"/>
    <n v="464100"/>
    <n v="0.15966386554621848"/>
    <n v="74100"/>
  </r>
  <r>
    <s v="ORD0299"/>
    <s v="2024-03-15"/>
    <x v="10"/>
    <s v="Rahul Verma"/>
    <s v="West"/>
    <s v="Furniture"/>
    <s v="Table"/>
    <s v="Wooden Table"/>
    <s v="IKEA"/>
    <s v="Delhi"/>
    <n v="51"/>
    <n v="13"/>
    <n v="65550"/>
    <n v="1014058.5"/>
    <n v="0.15966386554621848"/>
    <n v="161908.5"/>
  </r>
  <r>
    <s v="ORD0300"/>
    <s v="2024-11-17"/>
    <x v="6"/>
    <s v="Rohit Das"/>
    <s v="East"/>
    <s v="Furniture"/>
    <s v="Chair"/>
    <s v="Office Chair"/>
    <s v="IKEA"/>
    <s v="Hyderabad"/>
    <n v="28"/>
    <n v="12"/>
    <n v="4259"/>
    <n v="60818.520000000004"/>
    <n v="0.15966386554621853"/>
    <n v="9710.5200000000041"/>
  </r>
  <r>
    <s v="ORD0301"/>
    <s v="2024-05-06"/>
    <x v="2"/>
    <s v="Rahul Verma"/>
    <s v="South"/>
    <s v="Clothing"/>
    <s v="Men Wear"/>
    <s v="T-shirt"/>
    <s v="Pantaloons"/>
    <s v="Mumbai"/>
    <n v="83"/>
    <n v="5"/>
    <n v="3271"/>
    <n v="18808.25"/>
    <n v="0.13043478260869565"/>
    <n v="2453.25"/>
  </r>
  <r>
    <s v="ORD0302"/>
    <s v="2024-10-09"/>
    <x v="0"/>
    <s v="Rahul Verma"/>
    <s v="North"/>
    <s v="Clothing"/>
    <s v="Women Wear"/>
    <s v="Jeans"/>
    <s v="Pantaloons"/>
    <s v="Mumbai"/>
    <n v="58"/>
    <n v="8"/>
    <n v="3315"/>
    <n v="30498"/>
    <n v="0.13043478260869565"/>
    <n v="3978"/>
  </r>
  <r>
    <s v="ORD0303"/>
    <s v="2024-08-14"/>
    <x v="5"/>
    <s v="Anjali Mehta"/>
    <s v="South"/>
    <s v="Electronics"/>
    <s v="Mobile"/>
    <s v="iPhone"/>
    <s v="Croma"/>
    <s v="Bangalore"/>
    <n v="24"/>
    <n v="15"/>
    <n v="145000"/>
    <n v="2653500"/>
    <n v="0.18032786885245902"/>
    <n v="478500"/>
  </r>
  <r>
    <s v="ORD0304"/>
    <s v="2024-12-01"/>
    <x v="11"/>
    <s v="Priya Singh"/>
    <s v="North"/>
    <s v="Electronics"/>
    <s v="Accessories"/>
    <s v="Samsung TV"/>
    <s v="Croma"/>
    <s v="Kolkata"/>
    <n v="97"/>
    <n v="15"/>
    <n v="27230"/>
    <n v="498309"/>
    <n v="0.18032786885245902"/>
    <n v="89859"/>
  </r>
  <r>
    <s v="ORD0305"/>
    <s v="2024-02-19"/>
    <x v="9"/>
    <s v="Rohit Das"/>
    <s v="South"/>
    <s v="Furniture"/>
    <s v="Table"/>
    <s v="Wooden Table"/>
    <s v="IKEA"/>
    <s v="Hyderabad"/>
    <n v="16"/>
    <n v="8"/>
    <n v="12860"/>
    <n v="122427.2"/>
    <n v="0.15966386554621848"/>
    <n v="19547.199999999997"/>
  </r>
  <r>
    <s v="ORD0306"/>
    <s v="2024-09-10"/>
    <x v="3"/>
    <s v="Amit Sharma"/>
    <s v="East"/>
    <s v="Clothing"/>
    <s v="Men Wear"/>
    <s v="T-shirt"/>
    <s v="Pantaloons"/>
    <s v="Hyderabad"/>
    <n v="94"/>
    <n v="4"/>
    <n v="4216"/>
    <n v="19393.599999999999"/>
    <n v="0.13043478260869559"/>
    <n v="2529.5999999999985"/>
  </r>
  <r>
    <s v="ORD0307"/>
    <s v="2024-06-13"/>
    <x v="7"/>
    <s v="Rahul Verma"/>
    <s v="West"/>
    <s v="Clothing"/>
    <s v="Men Wear"/>
    <s v="T-shirt"/>
    <s v="Big Bazaar"/>
    <s v="Mumbai"/>
    <n v="34"/>
    <n v="12"/>
    <n v="4042"/>
    <n v="55779.6"/>
    <n v="0.13043478260869562"/>
    <n v="7275.5999999999985"/>
  </r>
  <r>
    <s v="ORD0308"/>
    <s v="2024-03-12"/>
    <x v="10"/>
    <s v="Neha Gupta"/>
    <s v="South"/>
    <s v="Electronics"/>
    <s v="Laptop"/>
    <s v="Laptop Dell"/>
    <s v="Croma"/>
    <s v="Delhi"/>
    <n v="23"/>
    <n v="4"/>
    <n v="49240"/>
    <n v="240291.20000000001"/>
    <n v="0.18032786885245905"/>
    <n v="43331.200000000012"/>
  </r>
  <r>
    <s v="ORD0309"/>
    <s v="2024-01-16"/>
    <x v="8"/>
    <s v="Amit Sharma"/>
    <s v="West"/>
    <s v="Electronics"/>
    <s v="Mobile"/>
    <s v="iPhone"/>
    <s v="Croma"/>
    <s v="Delhi"/>
    <n v="4"/>
    <n v="20"/>
    <n v="445901"/>
    <n v="10879984.4"/>
    <n v="0.18032786885245905"/>
    <n v="1961964.4000000004"/>
  </r>
  <r>
    <s v="ORD0310"/>
    <s v="2024-08-04"/>
    <x v="5"/>
    <s v="Amit Sharma"/>
    <s v="South"/>
    <s v="Furniture"/>
    <s v="Table"/>
    <s v="Wooden Table"/>
    <s v="IKEA"/>
    <s v="Kolkata"/>
    <n v="97"/>
    <n v="17"/>
    <n v="13300"/>
    <n v="269059"/>
    <n v="0.15966386554621848"/>
    <n v="42959"/>
  </r>
  <r>
    <s v="ORD0311"/>
    <s v="2024-02-02"/>
    <x v="9"/>
    <s v="Rahul Verma"/>
    <s v="South"/>
    <s v="Clothing"/>
    <s v="Women Wear"/>
    <s v="Jeans"/>
    <s v="Pantaloons"/>
    <s v="Kolkata"/>
    <n v="66"/>
    <n v="8"/>
    <n v="1987"/>
    <n v="18280.400000000001"/>
    <n v="0.13043478260869573"/>
    <n v="2384.4000000000015"/>
  </r>
  <r>
    <s v="ORD0312"/>
    <s v="2024-05-22"/>
    <x v="2"/>
    <s v="Rahul Verma"/>
    <s v="North"/>
    <s v="Furniture"/>
    <s v="Table"/>
    <s v="Wooden Table"/>
    <s v="IKEA"/>
    <s v="Kolkata"/>
    <n v="49"/>
    <n v="3"/>
    <n v="28610"/>
    <n v="102137.7"/>
    <n v="0.15966386554621848"/>
    <n v="16307.699999999997"/>
  </r>
  <r>
    <s v="ORD0313"/>
    <s v="2024-08-10"/>
    <x v="5"/>
    <s v="Priya Singh"/>
    <s v="North"/>
    <s v="Clothing"/>
    <s v="Women Wear"/>
    <s v="Jeans"/>
    <s v="Pantaloons"/>
    <s v="Bangalore"/>
    <n v="23"/>
    <n v="10"/>
    <n v="890"/>
    <n v="10235"/>
    <n v="0.13043478260869565"/>
    <n v="1335"/>
  </r>
  <r>
    <s v="ORD0314"/>
    <s v="2024-02-15"/>
    <x v="9"/>
    <s v="Neha Gupta"/>
    <s v="North"/>
    <s v="Furniture"/>
    <s v="Table"/>
    <s v="Wooden Table"/>
    <s v="IKEA"/>
    <s v="Delhi"/>
    <n v="89"/>
    <n v="5"/>
    <n v="48850"/>
    <n v="290657.5"/>
    <n v="0.15966386554621848"/>
    <n v="46407.5"/>
  </r>
  <r>
    <s v="ORD0315"/>
    <s v="2024-11-05"/>
    <x v="6"/>
    <s v="Rohit Das"/>
    <s v="North"/>
    <s v="Electronics"/>
    <s v="Mobile"/>
    <s v="iPhone"/>
    <s v="Croma"/>
    <s v="Mumbai"/>
    <n v="13"/>
    <n v="8"/>
    <n v="146000"/>
    <n v="1424960"/>
    <n v="0.18032786885245902"/>
    <n v="256960"/>
  </r>
  <r>
    <s v="ORD0316"/>
    <s v="2024-10-25"/>
    <x v="0"/>
    <s v="Amit Sharma"/>
    <s v="East"/>
    <s v="Clothing"/>
    <s v="Women Wear"/>
    <s v="Jeans"/>
    <s v="Pantaloons"/>
    <s v="Hyderabad"/>
    <n v="95"/>
    <n v="5"/>
    <n v="980"/>
    <n v="5635"/>
    <n v="0.13043478260869565"/>
    <n v="735"/>
  </r>
  <r>
    <s v="ORD0317"/>
    <s v="2024-01-16"/>
    <x v="8"/>
    <s v="Neha Gupta"/>
    <s v="East"/>
    <s v="Electronics"/>
    <s v="Laptop"/>
    <s v="Laptop Dell"/>
    <s v="Croma"/>
    <s v="Kolkata"/>
    <n v="42"/>
    <n v="20"/>
    <n v="45888"/>
    <n v="1119667.2"/>
    <n v="0.18032786885245899"/>
    <n v="201907.19999999995"/>
  </r>
  <r>
    <s v="ORD0318"/>
    <s v="2024-12-11"/>
    <x v="11"/>
    <s v="Amit Sharma"/>
    <s v="North"/>
    <s v="Electronics"/>
    <s v="Mobile"/>
    <s v="iPhone"/>
    <s v="Croma"/>
    <s v="Mumbai"/>
    <n v="82"/>
    <n v="7"/>
    <n v="147000"/>
    <n v="1255380"/>
    <n v="0.18032786885245902"/>
    <n v="226380"/>
  </r>
  <r>
    <s v="ORD0319"/>
    <s v="2024-04-13"/>
    <x v="1"/>
    <s v="Amit Sharma"/>
    <s v="North"/>
    <s v="Clothing"/>
    <s v="Men Wear"/>
    <s v="T-shirt"/>
    <s v="Pantaloons"/>
    <s v="Kolkata"/>
    <n v="77"/>
    <n v="19"/>
    <n v="4467"/>
    <n v="97603.95"/>
    <n v="0.13043478260869562"/>
    <n v="12730.949999999997"/>
  </r>
  <r>
    <s v="ORD0320"/>
    <s v="2024-03-02"/>
    <x v="10"/>
    <s v="Amit Sharma"/>
    <s v="West"/>
    <s v="Clothing"/>
    <s v="Women Wear"/>
    <s v="Jeans"/>
    <s v="Pantaloons"/>
    <s v="Hyderabad"/>
    <n v="81"/>
    <n v="7"/>
    <n v="999"/>
    <n v="8041.95"/>
    <n v="0.13043478260869562"/>
    <n v="1048.9499999999998"/>
  </r>
  <r>
    <s v="ORD0321"/>
    <s v="2024-09-01"/>
    <x v="3"/>
    <s v="Amit Sharma"/>
    <s v="West"/>
    <s v="Clothing"/>
    <s v="Women Wear"/>
    <s v="Jeans"/>
    <s v="Pantaloons"/>
    <s v="Kolkata"/>
    <n v="71"/>
    <n v="20"/>
    <n v="1282"/>
    <n v="29486"/>
    <n v="0.13043478260869565"/>
    <n v="3846"/>
  </r>
  <r>
    <s v="ORD0322"/>
    <s v="2024-08-12"/>
    <x v="5"/>
    <s v="Neha Gupta"/>
    <s v="North"/>
    <s v="Electronics"/>
    <s v="Laptop"/>
    <s v="Laptop Dell"/>
    <s v="Croma"/>
    <s v="Hyderabad"/>
    <n v="16"/>
    <n v="4"/>
    <n v="665025"/>
    <n v="3245322"/>
    <n v="0.18032786885245902"/>
    <n v="585222"/>
  </r>
  <r>
    <s v="ORD0323"/>
    <s v="2024-12-13"/>
    <x v="11"/>
    <s v="Neha Gupta"/>
    <s v="West"/>
    <s v="Electronics"/>
    <s v="Accessories"/>
    <s v="Samsung TV"/>
    <s v="Croma"/>
    <s v="Bangalore"/>
    <n v="3"/>
    <n v="4"/>
    <n v="26890"/>
    <n v="131223.20000000001"/>
    <n v="0.18032786885245908"/>
    <n v="23663.200000000012"/>
  </r>
  <r>
    <s v="ORD0324"/>
    <s v="2024-12-04"/>
    <x v="11"/>
    <s v="Rahul Verma"/>
    <s v="North"/>
    <s v="Furniture"/>
    <s v="Table"/>
    <s v="Wooden Table"/>
    <s v="IKEA"/>
    <s v="Bangalore"/>
    <n v="32"/>
    <n v="1"/>
    <n v="15190"/>
    <n v="18076.099999999999"/>
    <n v="0.15966386554621842"/>
    <n v="2886.0999999999985"/>
  </r>
  <r>
    <s v="ORD0325"/>
    <s v="2024-03-01"/>
    <x v="10"/>
    <s v="Amit Sharma"/>
    <s v="South"/>
    <s v="Electronics"/>
    <s v="Laptop"/>
    <s v="Laptop Dell"/>
    <s v="Reliance Digital"/>
    <s v="Bangalore"/>
    <n v="87"/>
    <n v="17"/>
    <n v="223365"/>
    <n v="4632590.0999999996"/>
    <n v="0.18032786885245894"/>
    <n v="835385.09999999963"/>
  </r>
  <r>
    <s v="ORD0326"/>
    <s v="2024-01-11"/>
    <x v="8"/>
    <s v="Anjali Mehta"/>
    <s v="West"/>
    <s v="Furniture"/>
    <s v="Chair"/>
    <s v="Office Chair"/>
    <s v="IKEA"/>
    <s v="Mumbai"/>
    <n v="52"/>
    <n v="11"/>
    <n v="964"/>
    <n v="12618.76"/>
    <n v="0.1596638655462185"/>
    <n v="2014.7600000000002"/>
  </r>
  <r>
    <s v="ORD0327"/>
    <s v="2024-06-13"/>
    <x v="7"/>
    <s v="Rohit Das"/>
    <s v="South"/>
    <s v="Clothing"/>
    <s v="Women Wear"/>
    <s v="Jeans"/>
    <s v="Pantaloons"/>
    <s v="Mumbai"/>
    <n v="52"/>
    <n v="10"/>
    <n v="904"/>
    <n v="10396"/>
    <n v="0.13043478260869565"/>
    <n v="1356"/>
  </r>
  <r>
    <s v="ORD0328"/>
    <s v="2024-11-19"/>
    <x v="6"/>
    <s v="Priya Singh"/>
    <s v="East"/>
    <s v="Electronics"/>
    <s v="Mobile"/>
    <s v="iPhone"/>
    <s v="Reliance Digital"/>
    <s v="Kolkata"/>
    <n v="77"/>
    <n v="20"/>
    <n v="146210"/>
    <n v="3567524"/>
    <n v="0.18032786885245902"/>
    <n v="643324"/>
  </r>
  <r>
    <s v="ORD0329"/>
    <s v="2024-07-29"/>
    <x v="4"/>
    <s v="Amit Sharma"/>
    <s v="West"/>
    <s v="Clothing"/>
    <s v="Men Wear"/>
    <s v="T-shirt"/>
    <s v="Pantaloons"/>
    <s v="Hyderabad"/>
    <n v="70"/>
    <n v="10"/>
    <n v="580"/>
    <n v="6670"/>
    <n v="0.13043478260869565"/>
    <n v="870"/>
  </r>
  <r>
    <s v="ORD0330"/>
    <s v="2024-08-22"/>
    <x v="5"/>
    <s v="Rohit Das"/>
    <s v="North"/>
    <s v="Clothing"/>
    <s v="Women Wear"/>
    <s v="Jeans"/>
    <s v="Big Bazaar"/>
    <s v="Hyderabad"/>
    <n v="87"/>
    <n v="15"/>
    <n v="4136"/>
    <n v="71346"/>
    <n v="0.13043478260869565"/>
    <n v="9306"/>
  </r>
  <r>
    <s v="ORD0331"/>
    <s v="2024-09-14"/>
    <x v="3"/>
    <s v="Neha Gupta"/>
    <s v="North"/>
    <s v="Electronics"/>
    <s v="Mobile"/>
    <s v="iPhone"/>
    <s v="Reliance Digital"/>
    <s v="Delhi"/>
    <n v="69"/>
    <n v="1"/>
    <n v="157000"/>
    <n v="191540"/>
    <n v="0.18032786885245902"/>
    <n v="34540"/>
  </r>
  <r>
    <s v="ORD0332"/>
    <s v="2024-08-28"/>
    <x v="5"/>
    <s v="Rohit Das"/>
    <s v="East"/>
    <s v="Clothing"/>
    <s v="Men Wear"/>
    <s v="T-shirt"/>
    <s v="Pantaloons"/>
    <s v="Mumbai"/>
    <n v="51"/>
    <n v="5"/>
    <n v="840"/>
    <n v="4830"/>
    <n v="0.13043478260869565"/>
    <n v="630"/>
  </r>
  <r>
    <s v="ORD0333"/>
    <s v="2024-03-10"/>
    <x v="10"/>
    <s v="Neha Gupta"/>
    <s v="South"/>
    <s v="Clothing"/>
    <s v="Men Wear"/>
    <s v="T-shirt"/>
    <s v="Big Bazaar"/>
    <s v="Bangalore"/>
    <n v="67"/>
    <n v="12"/>
    <n v="1226"/>
    <n v="16918.8"/>
    <n v="0.13043478260869562"/>
    <n v="2206.7999999999993"/>
  </r>
  <r>
    <s v="ORD0334"/>
    <s v="2024-02-05"/>
    <x v="9"/>
    <s v="Neha Gupta"/>
    <s v="North"/>
    <s v="Clothing"/>
    <s v="Men Wear"/>
    <s v="T-shirt"/>
    <s v="Pantaloons"/>
    <s v="Kolkata"/>
    <n v="63"/>
    <n v="12"/>
    <n v="1404"/>
    <n v="19375.2"/>
    <n v="0.13043478260869568"/>
    <n v="2527.2000000000007"/>
  </r>
  <r>
    <s v="ORD0335"/>
    <s v="2024-07-02"/>
    <x v="4"/>
    <s v="Anjali Mehta"/>
    <s v="West"/>
    <s v="Clothing"/>
    <s v="Women Wear"/>
    <s v="Jeans"/>
    <s v="Big Bazaar"/>
    <s v="Hyderabad"/>
    <n v="31"/>
    <n v="12"/>
    <n v="1025"/>
    <n v="14145"/>
    <n v="0.13043478260869565"/>
    <n v="1845"/>
  </r>
  <r>
    <s v="ORD0336"/>
    <s v="2024-06-27"/>
    <x v="7"/>
    <s v="Anjali Mehta"/>
    <s v="West"/>
    <s v="Electronics"/>
    <s v="Mobile"/>
    <s v="iPhone"/>
    <s v="Reliance Digital"/>
    <s v="Hyderabad"/>
    <n v="26"/>
    <n v="2"/>
    <n v="67000"/>
    <n v="163480"/>
    <n v="0.18032786885245902"/>
    <n v="29480"/>
  </r>
  <r>
    <s v="ORD0337"/>
    <s v="2024-06-26"/>
    <x v="7"/>
    <s v="Anjali Mehta"/>
    <s v="East"/>
    <s v="Electronics"/>
    <s v="Laptop"/>
    <s v="Laptop Dell"/>
    <s v="Croma"/>
    <s v="Hyderabad"/>
    <n v="48"/>
    <n v="20"/>
    <n v="28560"/>
    <n v="696864"/>
    <n v="0.18032786885245902"/>
    <n v="125664"/>
  </r>
  <r>
    <s v="ORD0338"/>
    <s v="2024-02-22"/>
    <x v="9"/>
    <s v="Priya Singh"/>
    <s v="South"/>
    <s v="Clothing"/>
    <s v="Men Wear"/>
    <s v="T-shirt"/>
    <s v="Big Bazaar"/>
    <s v="Delhi"/>
    <n v="31"/>
    <n v="3"/>
    <n v="4675"/>
    <n v="16128.75"/>
    <n v="0.13043478260869565"/>
    <n v="2103.75"/>
  </r>
  <r>
    <s v="ORD0339"/>
    <s v="2024-07-11"/>
    <x v="4"/>
    <s v="Neha Gupta"/>
    <s v="North"/>
    <s v="Furniture"/>
    <s v="Table"/>
    <s v="Wooden Table"/>
    <s v="IKEA"/>
    <s v="Mumbai"/>
    <n v="9"/>
    <n v="9"/>
    <n v="32670"/>
    <n v="349895.7"/>
    <n v="0.1596638655462185"/>
    <n v="55865.700000000012"/>
  </r>
  <r>
    <s v="ORD0340"/>
    <s v="2024-04-22"/>
    <x v="1"/>
    <s v="Amit Sharma"/>
    <s v="South"/>
    <s v="Electronics"/>
    <s v="Accessories"/>
    <s v="Samsung TV"/>
    <s v="Reliance Digital"/>
    <s v="Kolkata"/>
    <n v="47"/>
    <n v="3"/>
    <n v="31540"/>
    <n v="115436.4"/>
    <n v="0.18032786885245897"/>
    <n v="20816.399999999994"/>
  </r>
  <r>
    <s v="ORD0341"/>
    <s v="2024-01-13"/>
    <x v="8"/>
    <s v="Priya Singh"/>
    <s v="West"/>
    <s v="Furniture"/>
    <s v="Table"/>
    <s v="Wooden Table"/>
    <s v="IKEA"/>
    <s v="Delhi"/>
    <n v="3"/>
    <n v="9"/>
    <n v="39920"/>
    <n v="427543.2"/>
    <n v="0.1596638655462185"/>
    <n v="68263.200000000012"/>
  </r>
  <r>
    <s v="ORD0342"/>
    <s v="2024-10-02"/>
    <x v="0"/>
    <s v="Neha Gupta"/>
    <s v="South"/>
    <s v="Furniture"/>
    <s v="Table"/>
    <s v="Wooden Table"/>
    <s v="IKEA"/>
    <s v="Kolkata"/>
    <n v="72"/>
    <n v="5"/>
    <n v="42310"/>
    <n v="251744.5"/>
    <n v="0.15966386554621848"/>
    <n v="40194.5"/>
  </r>
  <r>
    <s v="ORD0343"/>
    <s v="2024-04-19"/>
    <x v="1"/>
    <s v="Neha Gupta"/>
    <s v="North"/>
    <s v="Furniture"/>
    <s v="Table"/>
    <s v="Wooden Table"/>
    <s v="IKEA"/>
    <s v="Bangalore"/>
    <n v="19"/>
    <n v="5"/>
    <n v="34250"/>
    <n v="203787.5"/>
    <n v="0.15966386554621848"/>
    <n v="32537.5"/>
  </r>
  <r>
    <s v="ORD0344"/>
    <s v="2024-02-21"/>
    <x v="9"/>
    <s v="Rahul Verma"/>
    <s v="South"/>
    <s v="Clothing"/>
    <s v="Men Wear"/>
    <s v="T-shirt"/>
    <s v="Big Bazaar"/>
    <s v="Mumbai"/>
    <n v="31"/>
    <n v="11"/>
    <n v="609"/>
    <n v="7703.85"/>
    <n v="0.1304347826086957"/>
    <n v="1004.8500000000004"/>
  </r>
  <r>
    <s v="ORD0345"/>
    <s v="2024-10-21"/>
    <x v="0"/>
    <s v="Rahul Verma"/>
    <s v="South"/>
    <s v="Electronics"/>
    <s v="Laptop"/>
    <s v="Laptop Dell"/>
    <s v="Reliance Digital"/>
    <s v="Hyderabad"/>
    <n v="3"/>
    <n v="1"/>
    <n v="100065"/>
    <n v="122079.3"/>
    <n v="0.18032786885245902"/>
    <n v="22014.300000000003"/>
  </r>
  <r>
    <s v="ORD0346"/>
    <s v="2024-05-14"/>
    <x v="2"/>
    <s v="Amit Sharma"/>
    <s v="North"/>
    <s v="Furniture"/>
    <s v="Table"/>
    <s v="Wooden Table"/>
    <s v="IKEA"/>
    <s v="Kolkata"/>
    <n v="31"/>
    <n v="5"/>
    <n v="15860"/>
    <n v="94367"/>
    <n v="0.15966386554621848"/>
    <n v="15067"/>
  </r>
  <r>
    <s v="ORD0347"/>
    <s v="2024-06-13"/>
    <x v="7"/>
    <s v="Priya Singh"/>
    <s v="North"/>
    <s v="Clothing"/>
    <s v="Women Wear"/>
    <s v="Jeans"/>
    <s v="Pantaloons"/>
    <s v="Bangalore"/>
    <n v="56"/>
    <n v="3"/>
    <n v="2860"/>
    <n v="9867"/>
    <n v="0.13043478260869565"/>
    <n v="1287"/>
  </r>
  <r>
    <s v="ORD0348"/>
    <s v="2024-06-30"/>
    <x v="7"/>
    <s v="Anjali Mehta"/>
    <s v="South"/>
    <s v="Clothing"/>
    <s v="Women Wear"/>
    <s v="Jeans"/>
    <s v="Big Bazaar"/>
    <s v="Mumbai"/>
    <n v="55"/>
    <n v="13"/>
    <n v="760"/>
    <n v="11362"/>
    <n v="0.13043478260869565"/>
    <n v="1482"/>
  </r>
  <r>
    <s v="ORD0349"/>
    <s v="2024-03-06"/>
    <x v="10"/>
    <s v="Rahul Verma"/>
    <s v="West"/>
    <s v="Electronics"/>
    <s v="Mobile"/>
    <s v="iPhone"/>
    <s v="Croma"/>
    <s v="Kolkata"/>
    <n v="65"/>
    <n v="13"/>
    <n v="142130"/>
    <n v="2254181.7999999998"/>
    <n v="0.18032786885245894"/>
    <n v="406491.79999999981"/>
  </r>
  <r>
    <s v="ORD0350"/>
    <s v="2024-04-05"/>
    <x v="1"/>
    <s v="Anjali Mehta"/>
    <s v="South"/>
    <s v="Electronics"/>
    <s v="Accessories"/>
    <s v="Samsung TV"/>
    <s v="Reliance Digital"/>
    <s v="Mumbai"/>
    <n v="92"/>
    <n v="4"/>
    <n v="26360"/>
    <n v="128636.8"/>
    <n v="0.18032786885245902"/>
    <n v="23196.800000000003"/>
  </r>
  <r>
    <s v="ORD0351"/>
    <s v="2024-04-16"/>
    <x v="1"/>
    <s v="Rahul Verma"/>
    <s v="North"/>
    <s v="Furniture"/>
    <s v="Chair"/>
    <s v="Office Chair"/>
    <s v="IKEA"/>
    <s v="Hyderabad"/>
    <n v="8"/>
    <n v="10"/>
    <n v="1100"/>
    <n v="13090"/>
    <n v="0.15966386554621848"/>
    <n v="2090"/>
  </r>
  <r>
    <s v="ORD0352"/>
    <s v="2024-09-05"/>
    <x v="3"/>
    <s v="Neha Gupta"/>
    <s v="East"/>
    <s v="Furniture"/>
    <s v="Table"/>
    <s v="Wooden Table"/>
    <s v="IKEA"/>
    <s v="Delhi"/>
    <n v="80"/>
    <n v="16"/>
    <n v="22810"/>
    <n v="434302.4"/>
    <n v="0.15966386554621853"/>
    <n v="69342.400000000023"/>
  </r>
  <r>
    <s v="ORD0353"/>
    <s v="2024-10-29"/>
    <x v="0"/>
    <s v="Priya Singh"/>
    <s v="North"/>
    <s v="Furniture"/>
    <s v="Chair"/>
    <s v="Office Chair"/>
    <s v="IKEA"/>
    <s v="Kolkata"/>
    <n v="85"/>
    <n v="14"/>
    <n v="1000"/>
    <n v="16660"/>
    <n v="0.15966386554621848"/>
    <n v="2660"/>
  </r>
  <r>
    <s v="ORD0354"/>
    <s v="2024-03-04"/>
    <x v="10"/>
    <s v="Anjali Mehta"/>
    <s v="South"/>
    <s v="Electronics"/>
    <s v="Mobile"/>
    <s v="iPhone"/>
    <s v="Reliance Digital"/>
    <s v="Mumbai"/>
    <n v="23"/>
    <n v="17"/>
    <n v="68000"/>
    <n v="1410320"/>
    <n v="0.18032786885245902"/>
    <n v="254320"/>
  </r>
  <r>
    <s v="ORD0355"/>
    <s v="2024-05-25"/>
    <x v="2"/>
    <s v="Anjali Mehta"/>
    <s v="West"/>
    <s v="Furniture"/>
    <s v="Table"/>
    <s v="Wooden Table"/>
    <s v="IKEA"/>
    <s v="Bangalore"/>
    <n v="88"/>
    <n v="12"/>
    <n v="47250"/>
    <n v="674730"/>
    <n v="0.15966386554621848"/>
    <n v="107730"/>
  </r>
  <r>
    <s v="ORD0356"/>
    <s v="2024-01-08"/>
    <x v="8"/>
    <s v="Neha Gupta"/>
    <s v="East"/>
    <s v="Electronics"/>
    <s v="Laptop"/>
    <s v="Laptop Dell"/>
    <s v="Reliance Digital"/>
    <s v="Delhi"/>
    <n v="78"/>
    <n v="15"/>
    <n v="23440"/>
    <n v="428952"/>
    <n v="0.18032786885245902"/>
    <n v="77352"/>
  </r>
  <r>
    <s v="ORD0357"/>
    <s v="2024-10-02"/>
    <x v="0"/>
    <s v="Priya Singh"/>
    <s v="West"/>
    <s v="Clothing"/>
    <s v="Women Wear"/>
    <s v="Jeans"/>
    <s v="Big Bazaar"/>
    <s v="Bangalore"/>
    <n v="77"/>
    <n v="5"/>
    <n v="1095"/>
    <n v="6296.25"/>
    <n v="0.13043478260869565"/>
    <n v="821.25"/>
  </r>
  <r>
    <s v="ORD0358"/>
    <s v="2024-02-17"/>
    <x v="9"/>
    <s v="Rohit Das"/>
    <s v="East"/>
    <s v="Electronics"/>
    <s v="Laptop"/>
    <s v="Laptop Dell"/>
    <s v="Reliance Digital"/>
    <s v="Mumbai"/>
    <n v="96"/>
    <n v="3"/>
    <n v="78925"/>
    <n v="288865.5"/>
    <n v="0.18032786885245902"/>
    <n v="52090.5"/>
  </r>
  <r>
    <s v="ORD0359"/>
    <s v="2024-12-07"/>
    <x v="11"/>
    <s v="Anjali Mehta"/>
    <s v="North"/>
    <s v="Electronics"/>
    <s v="Accessories"/>
    <s v="Samsung TV"/>
    <s v="Reliance Digital"/>
    <s v="Bangalore"/>
    <n v="40"/>
    <n v="20"/>
    <n v="30710"/>
    <n v="749324"/>
    <n v="0.18032786885245902"/>
    <n v="135124"/>
  </r>
  <r>
    <s v="ORD0360"/>
    <s v="2024-12-08"/>
    <x v="11"/>
    <s v="Neha Gupta"/>
    <s v="North"/>
    <s v="Electronics"/>
    <s v="Accessories"/>
    <s v="Samsung TV"/>
    <s v="Reliance Digital"/>
    <s v="Bangalore"/>
    <n v="97"/>
    <n v="5"/>
    <n v="181600"/>
    <n v="1107760"/>
    <n v="0.18032786885245902"/>
    <n v="199760"/>
  </r>
  <r>
    <s v="ORD0361"/>
    <s v="2024-08-10"/>
    <x v="5"/>
    <s v="Priya Singh"/>
    <s v="West"/>
    <s v="Clothing"/>
    <s v="Women Wear"/>
    <s v="Jeans"/>
    <s v="Big Bazaar"/>
    <s v="Mumbai"/>
    <n v="61"/>
    <n v="11"/>
    <n v="741"/>
    <n v="9373.65"/>
    <n v="0.13043478260869562"/>
    <n v="1222.6499999999996"/>
  </r>
  <r>
    <s v="ORD0362"/>
    <s v="2024-05-10"/>
    <x v="2"/>
    <s v="Anjali Mehta"/>
    <s v="West"/>
    <s v="Furniture"/>
    <s v="Chair"/>
    <s v="Office Chair"/>
    <s v="IKEA"/>
    <s v="Delhi"/>
    <n v="91"/>
    <n v="17"/>
    <n v="3205"/>
    <n v="64837.15"/>
    <n v="0.1596638655462185"/>
    <n v="10352.150000000001"/>
  </r>
  <r>
    <s v="ORD0363"/>
    <s v="2024-09-19"/>
    <x v="3"/>
    <s v="Rohit Das"/>
    <s v="North"/>
    <s v="Electronics"/>
    <s v="Accessories"/>
    <s v="Samsung TV"/>
    <s v="Reliance Digital"/>
    <s v="Bangalore"/>
    <n v="15"/>
    <n v="7"/>
    <n v="111800"/>
    <n v="954772"/>
    <n v="0.18032786885245902"/>
    <n v="172172"/>
  </r>
  <r>
    <s v="ORD0364"/>
    <s v="2024-09-07"/>
    <x v="3"/>
    <s v="Rohit Das"/>
    <s v="West"/>
    <s v="Clothing"/>
    <s v="Men Wear"/>
    <s v="T-shirt"/>
    <s v="Pantaloons"/>
    <s v="Kolkata"/>
    <n v="75"/>
    <n v="8"/>
    <n v="2214"/>
    <n v="20368.8"/>
    <n v="0.13043478260869562"/>
    <n v="2656.7999999999993"/>
  </r>
  <r>
    <s v="ORD0365"/>
    <s v="2024-08-11"/>
    <x v="5"/>
    <s v="Anjali Mehta"/>
    <s v="North"/>
    <s v="Clothing"/>
    <s v="Men Wear"/>
    <s v="T-shirt"/>
    <s v="Big Bazaar"/>
    <s v="Kolkata"/>
    <n v="57"/>
    <n v="5"/>
    <n v="2103"/>
    <n v="12092.25"/>
    <n v="0.13043478260869565"/>
    <n v="1577.25"/>
  </r>
  <r>
    <s v="ORD0366"/>
    <s v="2024-02-16"/>
    <x v="9"/>
    <s v="Neha Gupta"/>
    <s v="West"/>
    <s v="Electronics"/>
    <s v="Accessories"/>
    <s v="Samsung TV"/>
    <s v="Reliance Digital"/>
    <s v="Mumbai"/>
    <n v="72"/>
    <n v="10"/>
    <n v="45900"/>
    <n v="559980"/>
    <n v="0.18032786885245902"/>
    <n v="100980"/>
  </r>
  <r>
    <s v="ORD0367"/>
    <s v="2024-07-22"/>
    <x v="4"/>
    <s v="Neha Gupta"/>
    <s v="North"/>
    <s v="Clothing"/>
    <s v="Men Wear"/>
    <s v="T-shirt"/>
    <s v="Big Bazaar"/>
    <s v="Delhi"/>
    <n v="79"/>
    <n v="6"/>
    <n v="3049"/>
    <n v="21038.1"/>
    <n v="0.13043478260869559"/>
    <n v="2744.0999999999985"/>
  </r>
  <r>
    <s v="ORD0368"/>
    <s v="2024-12-15"/>
    <x v="11"/>
    <s v="Rohit Das"/>
    <s v="West"/>
    <s v="Electronics"/>
    <s v="Laptop"/>
    <s v="Laptop Dell"/>
    <s v="Reliance Digital"/>
    <s v="Delhi"/>
    <n v="37"/>
    <n v="4"/>
    <n v="98700"/>
    <n v="481656"/>
    <n v="0.18032786885245902"/>
    <n v="86856"/>
  </r>
  <r>
    <s v="ORD0369"/>
    <s v="2024-02-14"/>
    <x v="9"/>
    <s v="Rohit Das"/>
    <s v="South"/>
    <s v="Electronics"/>
    <s v="Mobile"/>
    <s v="iPhone"/>
    <s v="Croma"/>
    <s v="Mumbai"/>
    <n v="98"/>
    <n v="1"/>
    <n v="69500"/>
    <n v="84790"/>
    <n v="0.18032786885245902"/>
    <n v="15290"/>
  </r>
  <r>
    <s v="ORD0370"/>
    <s v="2024-10-25"/>
    <x v="0"/>
    <s v="Rohit Das"/>
    <s v="South"/>
    <s v="Furniture"/>
    <s v="Chair"/>
    <s v="Office Chair"/>
    <s v="IKEA"/>
    <s v="Kolkata"/>
    <n v="39"/>
    <n v="2"/>
    <n v="3354"/>
    <n v="7982.52"/>
    <n v="0.15966386554621853"/>
    <n v="1274.5200000000004"/>
  </r>
  <r>
    <s v="ORD0371"/>
    <s v="2024-09-08"/>
    <x v="3"/>
    <s v="Priya Singh"/>
    <s v="East"/>
    <s v="Clothing"/>
    <s v="Women Wear"/>
    <s v="Jeans"/>
    <s v="Pantaloons"/>
    <s v="Delhi"/>
    <n v="17"/>
    <n v="10"/>
    <n v="704"/>
    <n v="8096"/>
    <n v="0.13043478260869565"/>
    <n v="1056"/>
  </r>
  <r>
    <s v="ORD0372"/>
    <s v="2024-12-23"/>
    <x v="11"/>
    <s v="Amit Sharma"/>
    <s v="South"/>
    <s v="Furniture"/>
    <s v="Chair"/>
    <s v="Office Chair"/>
    <s v="IKEA"/>
    <s v="Kolkata"/>
    <n v="27"/>
    <n v="9"/>
    <n v="1300"/>
    <n v="13923"/>
    <n v="0.15966386554621848"/>
    <n v="2223"/>
  </r>
  <r>
    <s v="ORD0373"/>
    <s v="2024-04-25"/>
    <x v="1"/>
    <s v="Rohit Das"/>
    <s v="North"/>
    <s v="Furniture"/>
    <s v="Table"/>
    <s v="Wooden Table"/>
    <s v="IKEA"/>
    <s v="Hyderabad"/>
    <n v="66"/>
    <n v="18"/>
    <n v="19670"/>
    <n v="421331.4"/>
    <n v="0.15966386554621853"/>
    <n v="67271.400000000023"/>
  </r>
  <r>
    <s v="ORD0374"/>
    <s v="2024-10-13"/>
    <x v="0"/>
    <s v="Amit Sharma"/>
    <s v="South"/>
    <s v="Furniture"/>
    <s v="Table"/>
    <s v="Wooden Table"/>
    <s v="IKEA"/>
    <s v="Mumbai"/>
    <n v="36"/>
    <n v="1"/>
    <n v="20480"/>
    <n v="24371.200000000001"/>
    <n v="0.1596638655462185"/>
    <n v="3891.2000000000007"/>
  </r>
  <r>
    <s v="ORD0375"/>
    <s v="2024-04-18"/>
    <x v="1"/>
    <s v="Priya Singh"/>
    <s v="West"/>
    <s v="Clothing"/>
    <s v="Men Wear"/>
    <s v="T-shirt"/>
    <s v="Big Bazaar"/>
    <s v="Hyderabad"/>
    <n v="60"/>
    <n v="17"/>
    <n v="2813"/>
    <n v="54994.15"/>
    <n v="0.13043478260869568"/>
    <n v="7173.1500000000015"/>
  </r>
  <r>
    <s v="ORD0376"/>
    <s v="2024-01-27"/>
    <x v="8"/>
    <s v="Neha Gupta"/>
    <s v="South"/>
    <s v="Furniture"/>
    <s v="Chair"/>
    <s v="Office Chair"/>
    <s v="IKEA"/>
    <s v="Mumbai"/>
    <n v="0"/>
    <n v="12"/>
    <n v="1550"/>
    <n v="22134"/>
    <n v="0.15966386554621848"/>
    <n v="3534"/>
  </r>
  <r>
    <s v="ORD0377"/>
    <s v="2024-02-03"/>
    <x v="9"/>
    <s v="Neha Gupta"/>
    <s v="East"/>
    <s v="Clothing"/>
    <s v="Men Wear"/>
    <s v="T-shirt"/>
    <s v="Big Bazaar"/>
    <s v="Delhi"/>
    <n v="97"/>
    <n v="8"/>
    <n v="3129"/>
    <n v="28786.799999999999"/>
    <n v="0.13043478260869562"/>
    <n v="3754.7999999999993"/>
  </r>
  <r>
    <s v="ORD0378"/>
    <s v="2024-10-01"/>
    <x v="0"/>
    <s v="Priya Singh"/>
    <s v="West"/>
    <s v="Electronics"/>
    <s v="Mobile"/>
    <s v="iPhone"/>
    <s v="Croma"/>
    <s v="Delhi"/>
    <n v="87"/>
    <n v="6"/>
    <n v="138730"/>
    <n v="1015503.6"/>
    <n v="0.18032786885245899"/>
    <n v="183123.59999999998"/>
  </r>
  <r>
    <s v="ORD0379"/>
    <s v="2024-05-21"/>
    <x v="2"/>
    <s v="Amit Sharma"/>
    <s v="South"/>
    <s v="Furniture"/>
    <s v="Chair"/>
    <s v="Office Chair"/>
    <s v="IKEA"/>
    <s v="Hyderabad"/>
    <n v="42"/>
    <n v="17"/>
    <n v="1723"/>
    <n v="34856.29"/>
    <n v="0.1596638655462185"/>
    <n v="5565.2900000000009"/>
  </r>
  <r>
    <s v="ORD0380"/>
    <s v="2024-07-19"/>
    <x v="4"/>
    <s v="Rahul Verma"/>
    <s v="South"/>
    <s v="Furniture"/>
    <s v="Chair"/>
    <s v="Office Chair"/>
    <s v="IKEA"/>
    <s v="Kolkata"/>
    <n v="94"/>
    <n v="12"/>
    <n v="2707"/>
    <n v="38655.96"/>
    <n v="0.15966386554621848"/>
    <n v="6171.9599999999991"/>
  </r>
  <r>
    <s v="ORD0381"/>
    <s v="2024-01-04"/>
    <x v="8"/>
    <s v="Rahul Verma"/>
    <s v="North"/>
    <s v="Electronics"/>
    <s v="Accessories"/>
    <s v="Samsung TV"/>
    <s v="Reliance Digital"/>
    <s v="Hyderabad"/>
    <n v="38"/>
    <n v="8"/>
    <n v="124100"/>
    <n v="1211216"/>
    <n v="0.18032786885245902"/>
    <n v="218416"/>
  </r>
  <r>
    <s v="ORD0382"/>
    <s v="2024-06-14"/>
    <x v="7"/>
    <s v="Rahul Verma"/>
    <s v="South"/>
    <s v="Electronics"/>
    <s v="Mobile"/>
    <s v="iPhone"/>
    <s v="Reliance Digital"/>
    <s v="Mumbai"/>
    <n v="35"/>
    <n v="17"/>
    <n v="145690"/>
    <n v="3021610.6"/>
    <n v="0.18032786885245905"/>
    <n v="544880.60000000009"/>
  </r>
  <r>
    <s v="ORD0383"/>
    <s v="2024-02-20"/>
    <x v="9"/>
    <s v="Rahul Verma"/>
    <s v="North"/>
    <s v="Furniture"/>
    <s v="Chair"/>
    <s v="Office Chair"/>
    <s v="IKEA"/>
    <s v="Kolkata"/>
    <n v="13"/>
    <n v="13"/>
    <n v="3600"/>
    <n v="55692"/>
    <n v="0.15966386554621848"/>
    <n v="8892"/>
  </r>
  <r>
    <s v="ORD0384"/>
    <s v="2024-04-07"/>
    <x v="1"/>
    <s v="Amit Sharma"/>
    <s v="West"/>
    <s v="Clothing"/>
    <s v="Women Wear"/>
    <s v="Jeans"/>
    <s v="Pantaloons"/>
    <s v="Delhi"/>
    <n v="1"/>
    <n v="9"/>
    <n v="3965"/>
    <n v="41037.75"/>
    <n v="0.13043478260869565"/>
    <n v="5352.75"/>
  </r>
  <r>
    <s v="ORD0385"/>
    <s v="2024-07-30"/>
    <x v="4"/>
    <s v="Priya Singh"/>
    <s v="North"/>
    <s v="Furniture"/>
    <s v="Chair"/>
    <s v="Office Chair"/>
    <s v="IKEA"/>
    <s v="Kolkata"/>
    <n v="63"/>
    <n v="19"/>
    <n v="4485"/>
    <n v="101405.85"/>
    <n v="0.15966386554621853"/>
    <n v="16190.850000000006"/>
  </r>
  <r>
    <s v="ORD0386"/>
    <s v="2024-10-14"/>
    <x v="0"/>
    <s v="Neha Gupta"/>
    <s v="East"/>
    <s v="Clothing"/>
    <s v="Men Wear"/>
    <s v="T-shirt"/>
    <s v="Big Bazaar"/>
    <s v="Mumbai"/>
    <n v="10"/>
    <n v="17"/>
    <n v="1146"/>
    <n v="22404.3"/>
    <n v="0.13043478260869562"/>
    <n v="2922.2999999999993"/>
  </r>
  <r>
    <s v="ORD0387"/>
    <s v="2024-09-06"/>
    <x v="3"/>
    <s v="Anjali Mehta"/>
    <s v="North"/>
    <s v="Electronics"/>
    <s v="Mobile"/>
    <s v="iPhone"/>
    <s v="Reliance Digital"/>
    <s v="Mumbai"/>
    <n v="83"/>
    <n v="1"/>
    <n v="148500"/>
    <n v="181170"/>
    <n v="0.18032786885245902"/>
    <n v="32670"/>
  </r>
  <r>
    <s v="ORD0388"/>
    <s v="2024-02-12"/>
    <x v="9"/>
    <s v="Anjali Mehta"/>
    <s v="East"/>
    <s v="Furniture"/>
    <s v="Table"/>
    <s v="Wooden Table"/>
    <s v="IKEA"/>
    <s v="Hyderabad"/>
    <n v="45"/>
    <n v="15"/>
    <n v="12380"/>
    <n v="220983"/>
    <n v="0.15966386554621848"/>
    <n v="35283"/>
  </r>
  <r>
    <s v="ORD0389"/>
    <s v="2024-12-26"/>
    <x v="11"/>
    <s v="Priya Singh"/>
    <s v="North"/>
    <s v="Electronics"/>
    <s v="Mobile"/>
    <s v="iPhone"/>
    <s v="Reliance Digital"/>
    <s v="Bangalore"/>
    <n v="3"/>
    <n v="16"/>
    <n v="158400"/>
    <n v="3091968"/>
    <n v="0.18032786885245902"/>
    <n v="557568"/>
  </r>
  <r>
    <s v="ORD0390"/>
    <s v="2024-12-11"/>
    <x v="11"/>
    <s v="Anjali Mehta"/>
    <s v="West"/>
    <s v="Furniture"/>
    <s v="Table"/>
    <s v="Wooden Table"/>
    <s v="IKEA"/>
    <s v="Delhi"/>
    <n v="93"/>
    <n v="19"/>
    <n v="34110"/>
    <n v="771227.1"/>
    <n v="0.15966386554621848"/>
    <n v="123137.09999999998"/>
  </r>
  <r>
    <s v="ORD0391"/>
    <s v="2024-10-18"/>
    <x v="0"/>
    <s v="Neha Gupta"/>
    <s v="North"/>
    <s v="Furniture"/>
    <s v="Chair"/>
    <s v="Office Chair"/>
    <s v="IKEA"/>
    <s v="Hyderabad"/>
    <n v="56"/>
    <n v="13"/>
    <n v="3840"/>
    <n v="59404.800000000003"/>
    <n v="0.15966386554621853"/>
    <n v="9484.8000000000029"/>
  </r>
  <r>
    <s v="ORD0392"/>
    <s v="2024-09-01"/>
    <x v="3"/>
    <s v="Priya Singh"/>
    <s v="South"/>
    <s v="Clothing"/>
    <s v="Men Wear"/>
    <s v="T-shirt"/>
    <s v="Big Bazaar"/>
    <s v="Kolkata"/>
    <n v="69"/>
    <n v="20"/>
    <n v="637"/>
    <n v="14651"/>
    <n v="0.13043478260869565"/>
    <n v="1911"/>
  </r>
  <r>
    <s v="ORD0393"/>
    <s v="2024-09-15"/>
    <x v="3"/>
    <s v="Anjali Mehta"/>
    <s v="South"/>
    <s v="Electronics"/>
    <s v="Laptop"/>
    <s v="Laptop Dell"/>
    <s v="Croma"/>
    <s v="Mumbai"/>
    <n v="24"/>
    <n v="1"/>
    <n v="300300"/>
    <n v="366366"/>
    <n v="0.18032786885245902"/>
    <n v="66066"/>
  </r>
  <r>
    <s v="ORD0394"/>
    <s v="2024-10-30"/>
    <x v="0"/>
    <s v="Neha Gupta"/>
    <s v="South"/>
    <s v="Electronics"/>
    <s v="Laptop"/>
    <s v="Laptop Dell"/>
    <s v="Reliance Digital"/>
    <s v="Kolkata"/>
    <n v="48"/>
    <n v="6"/>
    <n v="55510"/>
    <n v="406333.2"/>
    <n v="0.18032786885245905"/>
    <n v="73273.200000000012"/>
  </r>
  <r>
    <s v="ORD0395"/>
    <s v="2024-08-01"/>
    <x v="5"/>
    <s v="Amit Sharma"/>
    <s v="South"/>
    <s v="Clothing"/>
    <s v="Women Wear"/>
    <s v="Jeans"/>
    <s v="Pantaloons"/>
    <s v="Delhi"/>
    <n v="62"/>
    <n v="4"/>
    <n v="2309"/>
    <n v="10621.4"/>
    <n v="0.13043478260869562"/>
    <n v="1385.3999999999996"/>
  </r>
  <r>
    <s v="ORD0396"/>
    <s v="2024-06-17"/>
    <x v="7"/>
    <s v="Rohit Das"/>
    <s v="East"/>
    <s v="Electronics"/>
    <s v="Mobile"/>
    <s v="iPhone"/>
    <s v="Reliance Digital"/>
    <s v="Kolkata"/>
    <n v="4"/>
    <n v="13"/>
    <n v="98700"/>
    <n v="1565382"/>
    <n v="0.18032786885245902"/>
    <n v="282282"/>
  </r>
  <r>
    <s v="ORD0397"/>
    <s v="2024-03-20"/>
    <x v="10"/>
    <s v="Rohit Das"/>
    <s v="East"/>
    <s v="Electronics"/>
    <s v="Mobile"/>
    <s v="iPhone"/>
    <s v="Croma"/>
    <s v="Bangalore"/>
    <n v="51"/>
    <n v="16"/>
    <n v="78900"/>
    <n v="1540128"/>
    <n v="0.18032786885245902"/>
    <n v="277728"/>
  </r>
  <r>
    <s v="ORD0398"/>
    <s v="2024-04-18"/>
    <x v="1"/>
    <s v="Neha Gupta"/>
    <s v="North"/>
    <s v="Electronics"/>
    <s v="Mobile"/>
    <s v="iPhone"/>
    <s v="Reliance Digital"/>
    <s v="Bangalore"/>
    <n v="53"/>
    <n v="8"/>
    <n v="138570"/>
    <n v="1352443.2"/>
    <n v="0.18032786885245899"/>
    <n v="243883.19999999995"/>
  </r>
  <r>
    <s v="ORD0399"/>
    <s v="2024-04-04"/>
    <x v="1"/>
    <s v="Anjali Mehta"/>
    <s v="East"/>
    <s v="Electronics"/>
    <s v="Mobile"/>
    <s v="iPhone"/>
    <s v="Reliance Digital"/>
    <s v="Hyderabad"/>
    <n v="10"/>
    <n v="20"/>
    <n v="145200"/>
    <n v="3542880"/>
    <n v="0.18032786885245902"/>
    <n v="638880"/>
  </r>
  <r>
    <s v="ORD0400"/>
    <s v="2024-01-02"/>
    <x v="8"/>
    <s v="Rahul Verma"/>
    <s v="South"/>
    <s v="Electronics"/>
    <s v="Accessories"/>
    <s v="Samsung TV"/>
    <s v="Croma"/>
    <s v="Kolkata"/>
    <n v="66"/>
    <n v="6"/>
    <n v="41300"/>
    <n v="302316"/>
    <n v="0.18032786885245902"/>
    <n v="54516"/>
  </r>
  <r>
    <s v="ORD0401"/>
    <s v="2024-10-13"/>
    <x v="0"/>
    <s v="Priya Singh"/>
    <s v="South"/>
    <s v="Furniture"/>
    <s v="Chair"/>
    <s v="Office Chair"/>
    <s v="IKEA"/>
    <s v="Bangalore"/>
    <n v="40"/>
    <n v="18"/>
    <n v="1893"/>
    <n v="40548.06"/>
    <n v="0.15966386554621845"/>
    <n v="6474.0599999999977"/>
  </r>
  <r>
    <s v="ORD0402"/>
    <s v="2024-08-28"/>
    <x v="5"/>
    <s v="Neha Gupta"/>
    <s v="North"/>
    <s v="Electronics"/>
    <s v="Mobile"/>
    <s v="iPhone"/>
    <s v="Croma"/>
    <s v="Bangalore"/>
    <n v="80"/>
    <n v="6"/>
    <n v="87900"/>
    <n v="643428"/>
    <n v="0.18032786885245902"/>
    <n v="116028"/>
  </r>
  <r>
    <s v="ORD0403"/>
    <s v="2024-08-08"/>
    <x v="5"/>
    <s v="Amit Sharma"/>
    <s v="West"/>
    <s v="Electronics"/>
    <s v="Accessories"/>
    <s v="Samsung TV"/>
    <s v="Croma"/>
    <s v="Delhi"/>
    <n v="100"/>
    <n v="19"/>
    <n v="44590"/>
    <n v="1033596.2"/>
    <n v="0.18032786885245897"/>
    <n v="186386.19999999995"/>
  </r>
  <r>
    <s v="ORD0404"/>
    <s v="2024-02-01"/>
    <x v="9"/>
    <s v="Priya Singh"/>
    <s v="North"/>
    <s v="Clothing"/>
    <s v="Men Wear"/>
    <s v="T-shirt"/>
    <s v="Pantaloons"/>
    <s v="Delhi"/>
    <n v="66"/>
    <n v="19"/>
    <n v="3883"/>
    <n v="84843.55"/>
    <n v="0.13043478260869568"/>
    <n v="11066.550000000003"/>
  </r>
  <r>
    <s v="ORD0405"/>
    <s v="2024-03-17"/>
    <x v="10"/>
    <s v="Neha Gupta"/>
    <s v="West"/>
    <s v="Electronics"/>
    <s v="Laptop"/>
    <s v="Laptop Dell"/>
    <s v="Reliance Digital"/>
    <s v="Bangalore"/>
    <n v="37"/>
    <n v="13"/>
    <n v="45600"/>
    <n v="723216"/>
    <n v="0.18032786885245902"/>
    <n v="130416"/>
  </r>
  <r>
    <s v="ORD0406"/>
    <s v="2024-07-09"/>
    <x v="4"/>
    <s v="Rohit Das"/>
    <s v="North"/>
    <s v="Furniture"/>
    <s v="Table"/>
    <s v="Wooden Table"/>
    <s v="IKEA"/>
    <s v="Mumbai"/>
    <n v="72"/>
    <n v="11"/>
    <n v="28170"/>
    <n v="368745.3"/>
    <n v="0.15966386554621845"/>
    <n v="58875.299999999988"/>
  </r>
  <r>
    <s v="ORD0407"/>
    <s v="2024-12-31"/>
    <x v="11"/>
    <s v="Rohit Das"/>
    <s v="North"/>
    <s v="Furniture"/>
    <s v="Table"/>
    <s v="Wooden Table"/>
    <s v="IKEA"/>
    <s v="Bangalore"/>
    <n v="99"/>
    <n v="10"/>
    <n v="28450"/>
    <n v="338555"/>
    <n v="0.15966386554621848"/>
    <n v="54055"/>
  </r>
  <r>
    <s v="ORD0408"/>
    <s v="2024-10-02"/>
    <x v="0"/>
    <s v="Amit Sharma"/>
    <s v="North"/>
    <s v="Furniture"/>
    <s v="Table"/>
    <s v="Wooden Table"/>
    <s v="IKEA"/>
    <s v="Mumbai"/>
    <n v="49"/>
    <n v="2"/>
    <n v="75000"/>
    <n v="178500"/>
    <n v="0.15966386554621848"/>
    <n v="28500"/>
  </r>
  <r>
    <s v="ORD0409"/>
    <s v="2024-12-07"/>
    <x v="11"/>
    <s v="Priya Singh"/>
    <s v="East"/>
    <s v="Electronics"/>
    <s v="Laptop"/>
    <s v="Laptop Dell"/>
    <s v="Reliance Digital"/>
    <s v="Kolkata"/>
    <n v="73"/>
    <n v="1"/>
    <n v="256033"/>
    <n v="312360.26"/>
    <n v="0.18032786885245905"/>
    <n v="56327.260000000009"/>
  </r>
  <r>
    <s v="ORD0410"/>
    <s v="2024-01-03"/>
    <x v="8"/>
    <s v="Anjali Mehta"/>
    <s v="North"/>
    <s v="Electronics"/>
    <s v="Laptop"/>
    <s v="Laptop Dell"/>
    <s v="Reliance Digital"/>
    <s v="Bangalore"/>
    <n v="61"/>
    <n v="5"/>
    <n v="292300"/>
    <n v="1783030"/>
    <n v="0.18032786885245902"/>
    <n v="321530"/>
  </r>
  <r>
    <s v="ORD0411"/>
    <s v="2024-01-19"/>
    <x v="8"/>
    <s v="Amit Sharma"/>
    <s v="East"/>
    <s v="Furniture"/>
    <s v="Table"/>
    <s v="Wooden Table"/>
    <s v="IKEA"/>
    <s v="Kolkata"/>
    <n v="98"/>
    <n v="4"/>
    <n v="41570"/>
    <n v="197873.2"/>
    <n v="0.15966386554621853"/>
    <n v="31593.200000000012"/>
  </r>
  <r>
    <s v="ORD0412"/>
    <s v="2024-06-13"/>
    <x v="7"/>
    <s v="Rohit Das"/>
    <s v="East"/>
    <s v="Electronics"/>
    <s v="Accessories"/>
    <s v="Samsung TV"/>
    <s v="Reliance Digital"/>
    <s v="Kolkata"/>
    <n v="1"/>
    <n v="11"/>
    <n v="62700"/>
    <n v="841434"/>
    <n v="0.18032786885245902"/>
    <n v="151734"/>
  </r>
  <r>
    <s v="ORD0413"/>
    <s v="2024-06-05"/>
    <x v="7"/>
    <s v="Neha Gupta"/>
    <s v="North"/>
    <s v="Electronics"/>
    <s v="Mobile"/>
    <s v="iPhone"/>
    <s v="Croma"/>
    <s v="Delhi"/>
    <n v="97"/>
    <n v="1"/>
    <n v="145300"/>
    <n v="177266"/>
    <n v="0.18032786885245902"/>
    <n v="31966"/>
  </r>
  <r>
    <s v="ORD0414"/>
    <s v="2024-10-24"/>
    <x v="0"/>
    <s v="Amit Sharma"/>
    <s v="North"/>
    <s v="Furniture"/>
    <s v="Chair"/>
    <s v="Office Chair"/>
    <s v="IKEA"/>
    <s v="Mumbai"/>
    <n v="30"/>
    <n v="9"/>
    <n v="1660"/>
    <n v="17778.599999999999"/>
    <n v="0.15966386554621842"/>
    <n v="2838.5999999999985"/>
  </r>
  <r>
    <s v="ORD0415"/>
    <s v="2024-05-02"/>
    <x v="2"/>
    <s v="Neha Gupta"/>
    <s v="North"/>
    <s v="Electronics"/>
    <s v="Accessories"/>
    <s v="Samsung TV"/>
    <s v="Reliance Digital"/>
    <s v="Kolkata"/>
    <n v="91"/>
    <n v="7"/>
    <n v="49010"/>
    <n v="418545.4"/>
    <n v="0.18032786885245905"/>
    <n v="75475.400000000023"/>
  </r>
  <r>
    <s v="ORD0416"/>
    <s v="2024-06-27"/>
    <x v="7"/>
    <s v="Anjali Mehta"/>
    <s v="South"/>
    <s v="Clothing"/>
    <s v="Men Wear"/>
    <s v="T-shirt"/>
    <s v="Big Bazaar"/>
    <s v="Mumbai"/>
    <n v="36"/>
    <n v="17"/>
    <n v="1907"/>
    <n v="37281.85"/>
    <n v="0.13043478260869562"/>
    <n v="4862.8499999999985"/>
  </r>
  <r>
    <s v="ORD0417"/>
    <s v="2024-05-21"/>
    <x v="2"/>
    <s v="Priya Singh"/>
    <s v="West"/>
    <s v="Electronics"/>
    <s v="Mobile"/>
    <s v="iPhone"/>
    <s v="Reliance Digital"/>
    <s v="Kolkata"/>
    <n v="89"/>
    <n v="14"/>
    <n v="142500"/>
    <n v="2433900"/>
    <n v="0.18032786885245902"/>
    <n v="438900"/>
  </r>
  <r>
    <s v="ORD0418"/>
    <s v="2024-09-15"/>
    <x v="3"/>
    <s v="Anjali Mehta"/>
    <s v="South"/>
    <s v="Electronics"/>
    <s v="Laptop"/>
    <s v="Laptop Dell"/>
    <s v="Reliance Digital"/>
    <s v="Hyderabad"/>
    <n v="46"/>
    <n v="18"/>
    <n v="308200"/>
    <n v="6768072"/>
    <n v="0.18032786885245902"/>
    <n v="1220472"/>
  </r>
  <r>
    <s v="ORD0419"/>
    <s v="2024-12-30"/>
    <x v="11"/>
    <s v="Amit Sharma"/>
    <s v="East"/>
    <s v="Clothing"/>
    <s v="Men Wear"/>
    <s v="T-shirt"/>
    <s v="Pantaloons"/>
    <s v="Bangalore"/>
    <n v="12"/>
    <n v="15"/>
    <n v="550"/>
    <n v="9487.5"/>
    <n v="0.13043478260869565"/>
    <n v="1237.5"/>
  </r>
  <r>
    <s v="ORD0420"/>
    <s v="2024-12-12"/>
    <x v="11"/>
    <s v="Priya Singh"/>
    <s v="North"/>
    <s v="Electronics"/>
    <s v="Mobile"/>
    <s v="iPhone"/>
    <s v="Croma"/>
    <s v="Mumbai"/>
    <n v="58"/>
    <n v="11"/>
    <n v="143500"/>
    <n v="1925770"/>
    <n v="0.18032786885245902"/>
    <n v="347270"/>
  </r>
  <r>
    <s v="ORD0421"/>
    <s v="2024-06-21"/>
    <x v="7"/>
    <s v="Priya Singh"/>
    <s v="West"/>
    <s v="Electronics"/>
    <s v="Accessories"/>
    <s v="Samsung TV"/>
    <s v="Croma"/>
    <s v="Delhi"/>
    <n v="85"/>
    <n v="8"/>
    <n v="34970"/>
    <n v="341307.2"/>
    <n v="0.18032786885245905"/>
    <n v="61547.200000000012"/>
  </r>
  <r>
    <s v="ORD0422"/>
    <s v="2024-07-08"/>
    <x v="4"/>
    <s v="Rahul Verma"/>
    <s v="South"/>
    <s v="Electronics"/>
    <s v="Accessories"/>
    <s v="Samsung TV"/>
    <s v="Croma"/>
    <s v="Hyderabad"/>
    <n v="76"/>
    <n v="11"/>
    <n v="27790"/>
    <n v="372941.8"/>
    <n v="0.18032786885245899"/>
    <n v="67251.799999999988"/>
  </r>
  <r>
    <s v="ORD0423"/>
    <s v="2024-02-14"/>
    <x v="9"/>
    <s v="Rahul Verma"/>
    <s v="North"/>
    <s v="Clothing"/>
    <s v="Women Wear"/>
    <s v="Jeans"/>
    <s v="Big Bazaar"/>
    <s v="Delhi"/>
    <n v="24"/>
    <n v="19"/>
    <n v="1641"/>
    <n v="35855.85"/>
    <n v="0.13043478260869562"/>
    <n v="4676.8499999999985"/>
  </r>
  <r>
    <s v="ORD0424"/>
    <s v="2024-04-12"/>
    <x v="1"/>
    <s v="Rahul Verma"/>
    <s v="North"/>
    <s v="Furniture"/>
    <s v="Table"/>
    <s v="Wooden Table"/>
    <s v="IKEA"/>
    <s v="Bangalore"/>
    <n v="73"/>
    <n v="8"/>
    <n v="49830"/>
    <n v="474381.6"/>
    <n v="0.15966386554621845"/>
    <n v="75741.599999999977"/>
  </r>
  <r>
    <s v="ORD0425"/>
    <s v="2024-11-29"/>
    <x v="6"/>
    <s v="Rahul Verma"/>
    <s v="North"/>
    <s v="Clothing"/>
    <s v="Men Wear"/>
    <s v="T-shirt"/>
    <s v="Big Bazaar"/>
    <s v="Hyderabad"/>
    <n v="86"/>
    <n v="2"/>
    <n v="1100"/>
    <n v="2530"/>
    <n v="0.13043478260869565"/>
    <n v="330"/>
  </r>
  <r>
    <s v="ORD0426"/>
    <s v="2024-04-07"/>
    <x v="1"/>
    <s v="Amit Sharma"/>
    <s v="West"/>
    <s v="Electronics"/>
    <s v="Laptop"/>
    <s v="Laptop Dell"/>
    <s v="Croma"/>
    <s v="Delhi"/>
    <n v="77"/>
    <n v="13"/>
    <n v="244500"/>
    <n v="3877770"/>
    <n v="0.18032786885245902"/>
    <n v="699270"/>
  </r>
  <r>
    <s v="ORD0427"/>
    <s v="2024-10-23"/>
    <x v="0"/>
    <s v="Amit Sharma"/>
    <s v="South"/>
    <s v="Clothing"/>
    <s v="Men Wear"/>
    <s v="T-shirt"/>
    <s v="Big Bazaar"/>
    <s v="Kolkata"/>
    <n v="10"/>
    <n v="20"/>
    <n v="4620"/>
    <n v="106260"/>
    <n v="0.13043478260869565"/>
    <n v="13860"/>
  </r>
  <r>
    <s v="ORD0428"/>
    <s v="2024-06-21"/>
    <x v="7"/>
    <s v="Priya Singh"/>
    <s v="North"/>
    <s v="Furniture"/>
    <s v="Table"/>
    <s v="Wooden Table"/>
    <s v="IKEA"/>
    <s v="Mumbai"/>
    <n v="53"/>
    <n v="5"/>
    <n v="38460"/>
    <n v="228837"/>
    <n v="0.15966386554621848"/>
    <n v="36537"/>
  </r>
  <r>
    <s v="ORD0429"/>
    <s v="2024-09-28"/>
    <x v="3"/>
    <s v="Rahul Verma"/>
    <s v="East"/>
    <s v="Clothing"/>
    <s v="Men Wear"/>
    <s v="T-shirt"/>
    <s v="Big Bazaar"/>
    <s v="Mumbai"/>
    <n v="45"/>
    <n v="2"/>
    <n v="2771"/>
    <n v="6373.3"/>
    <n v="0.13043478260869568"/>
    <n v="831.30000000000018"/>
  </r>
  <r>
    <s v="ORD0430"/>
    <s v="2024-05-24"/>
    <x v="2"/>
    <s v="Amit Sharma"/>
    <s v="West"/>
    <s v="Clothing"/>
    <s v="Men Wear"/>
    <s v="T-shirt"/>
    <s v="Big Bazaar"/>
    <s v="Kolkata"/>
    <n v="38"/>
    <n v="18"/>
    <n v="561"/>
    <n v="11612.7"/>
    <n v="0.1304347826086957"/>
    <n v="1514.7000000000007"/>
  </r>
  <r>
    <s v="ORD0431"/>
    <s v="2024-12-25"/>
    <x v="11"/>
    <s v="Rohit Das"/>
    <s v="East"/>
    <s v="Furniture"/>
    <s v="Table"/>
    <s v="Wooden Table"/>
    <s v="IKEA"/>
    <s v="Delhi"/>
    <n v="60"/>
    <n v="13"/>
    <n v="38040"/>
    <n v="588478.80000000005"/>
    <n v="0.15966386554621856"/>
    <n v="93958.800000000047"/>
  </r>
  <r>
    <s v="ORD0432"/>
    <s v="2024-08-16"/>
    <x v="5"/>
    <s v="Anjali Mehta"/>
    <s v="South"/>
    <s v="Clothing"/>
    <s v="Women Wear"/>
    <s v="Jeans"/>
    <s v="Pantaloons"/>
    <s v="Delhi"/>
    <n v="100"/>
    <n v="10"/>
    <n v="878"/>
    <n v="10097"/>
    <n v="0.13043478260869565"/>
    <n v="1317"/>
  </r>
  <r>
    <s v="ORD0433"/>
    <s v="2024-01-23"/>
    <x v="8"/>
    <s v="Priya Singh"/>
    <s v="South"/>
    <s v="Electronics"/>
    <s v="Laptop"/>
    <s v="Laptop Dell"/>
    <s v="Croma"/>
    <s v="Mumbai"/>
    <n v="46"/>
    <n v="18"/>
    <n v="411300"/>
    <n v="9032148"/>
    <n v="0.18032786885245902"/>
    <n v="1628748"/>
  </r>
  <r>
    <s v="ORD0434"/>
    <s v="2024-03-24"/>
    <x v="10"/>
    <s v="Amit Sharma"/>
    <s v="East"/>
    <s v="Furniture"/>
    <s v="Table"/>
    <s v="Wooden Table"/>
    <s v="IKEA"/>
    <s v="Mumbai"/>
    <n v="91"/>
    <n v="3"/>
    <n v="29130"/>
    <n v="103994.1"/>
    <n v="0.15966386554621853"/>
    <n v="16604.100000000006"/>
  </r>
  <r>
    <s v="ORD0435"/>
    <s v="2024-01-08"/>
    <x v="8"/>
    <s v="Amit Sharma"/>
    <s v="South"/>
    <s v="Electronics"/>
    <s v="Accessories"/>
    <s v="Samsung TV"/>
    <s v="Reliance Digital"/>
    <s v="Kolkata"/>
    <n v="14"/>
    <n v="17"/>
    <n v="27620"/>
    <n v="572838.80000000005"/>
    <n v="0.18032786885245908"/>
    <n v="103298.80000000005"/>
  </r>
  <r>
    <s v="ORD0436"/>
    <s v="2024-03-31"/>
    <x v="10"/>
    <s v="Neha Gupta"/>
    <s v="South"/>
    <s v="Furniture"/>
    <s v="Chair"/>
    <s v="Office Chair"/>
    <s v="IKEA"/>
    <s v="Delhi"/>
    <n v="97"/>
    <n v="11"/>
    <n v="1942"/>
    <n v="25420.78"/>
    <n v="0.15966386554621845"/>
    <n v="4058.7799999999988"/>
  </r>
  <r>
    <s v="ORD0437"/>
    <s v="2024-08-30"/>
    <x v="5"/>
    <s v="Priya Singh"/>
    <s v="South"/>
    <s v="Electronics"/>
    <s v="Laptop"/>
    <s v="Laptop Dell"/>
    <s v="Croma"/>
    <s v="Kolkata"/>
    <n v="20"/>
    <n v="8"/>
    <n v="52555"/>
    <n v="512936.8"/>
    <n v="0.18032786885245899"/>
    <n v="92496.799999999988"/>
  </r>
  <r>
    <s v="ORD0438"/>
    <s v="2024-06-02"/>
    <x v="7"/>
    <s v="Priya Singh"/>
    <s v="North"/>
    <s v="Clothing"/>
    <s v="Women Wear"/>
    <s v="Jeans"/>
    <s v="Pantaloons"/>
    <s v="Bangalore"/>
    <n v="65"/>
    <n v="4"/>
    <n v="2270"/>
    <n v="10442"/>
    <n v="0.13043478260869565"/>
    <n v="1362"/>
  </r>
  <r>
    <s v="ORD0439"/>
    <s v="2024-06-16"/>
    <x v="7"/>
    <s v="Amit Sharma"/>
    <s v="East"/>
    <s v="Clothing"/>
    <s v="Women Wear"/>
    <s v="Jeans"/>
    <s v="Big Bazaar"/>
    <s v="Bangalore"/>
    <n v="22"/>
    <n v="20"/>
    <n v="4374"/>
    <n v="100602"/>
    <n v="0.13043478260869565"/>
    <n v="13122"/>
  </r>
  <r>
    <s v="ORD0440"/>
    <s v="2024-05-10"/>
    <x v="2"/>
    <s v="Rohit Das"/>
    <s v="West"/>
    <s v="Electronics"/>
    <s v="Accessories"/>
    <s v="Samsung TV"/>
    <s v="Reliance Digital"/>
    <s v="Delhi"/>
    <n v="47"/>
    <n v="15"/>
    <n v="35820"/>
    <n v="655506"/>
    <n v="0.18032786885245902"/>
    <n v="118206"/>
  </r>
  <r>
    <s v="ORD0441"/>
    <s v="2024-09-03"/>
    <x v="3"/>
    <s v="Amit Sharma"/>
    <s v="West"/>
    <s v="Furniture"/>
    <s v="Chair"/>
    <s v="Office Chair"/>
    <s v="IKEA"/>
    <s v="Mumbai"/>
    <n v="45"/>
    <n v="1"/>
    <n v="4689"/>
    <n v="5579.91"/>
    <n v="0.15966386554621848"/>
    <n v="890.90999999999985"/>
  </r>
  <r>
    <s v="ORD0442"/>
    <s v="2024-04-21"/>
    <x v="1"/>
    <s v="Rahul Verma"/>
    <s v="South"/>
    <s v="Electronics"/>
    <s v="Accessories"/>
    <s v="Samsung TV"/>
    <s v="Croma"/>
    <s v="Kolkata"/>
    <n v="46"/>
    <n v="11"/>
    <n v="183400"/>
    <n v="2461228"/>
    <n v="0.18032786885245902"/>
    <n v="443828"/>
  </r>
  <r>
    <s v="ORD0443"/>
    <s v="2024-11-01"/>
    <x v="6"/>
    <s v="Rahul Verma"/>
    <s v="North"/>
    <s v="Furniture"/>
    <s v="Chair"/>
    <s v="Office Chair"/>
    <s v="IKEA"/>
    <s v="Hyderabad"/>
    <n v="8"/>
    <n v="4"/>
    <n v="2469"/>
    <n v="11752.44"/>
    <n v="0.15966386554621853"/>
    <n v="1876.4400000000005"/>
  </r>
  <r>
    <s v="ORD0444"/>
    <s v="2024-11-12"/>
    <x v="6"/>
    <s v="Neha Gupta"/>
    <s v="East"/>
    <s v="Clothing"/>
    <s v="Women Wear"/>
    <s v="Jeans"/>
    <s v="Big Bazaar"/>
    <s v="Delhi"/>
    <n v="1"/>
    <n v="18"/>
    <n v="880"/>
    <n v="18216"/>
    <n v="0.13043478260869565"/>
    <n v="2376"/>
  </r>
  <r>
    <s v="ORD0445"/>
    <s v="2024-11-15"/>
    <x v="6"/>
    <s v="Anjali Mehta"/>
    <s v="South"/>
    <s v="Clothing"/>
    <s v="Women Wear"/>
    <s v="Jeans"/>
    <s v="Big Bazaar"/>
    <s v="Mumbai"/>
    <n v="34"/>
    <n v="6"/>
    <n v="4449"/>
    <n v="30698.1"/>
    <n v="0.13043478260869562"/>
    <n v="4004.0999999999985"/>
  </r>
  <r>
    <s v="ORD0446"/>
    <s v="2024-08-15"/>
    <x v="5"/>
    <s v="Rohit Das"/>
    <s v="North"/>
    <s v="Furniture"/>
    <s v="Chair"/>
    <s v="Office Chair"/>
    <s v="IKEA"/>
    <s v="Delhi"/>
    <n v="31"/>
    <n v="12"/>
    <n v="3995"/>
    <n v="57048.6"/>
    <n v="0.15966386554621848"/>
    <n v="9108.5999999999985"/>
  </r>
  <r>
    <s v="ORD0447"/>
    <s v="2024-06-04"/>
    <x v="7"/>
    <s v="Priya Singh"/>
    <s v="North"/>
    <s v="Furniture"/>
    <s v="Chair"/>
    <s v="Office Chair"/>
    <s v="IKEA"/>
    <s v="Mumbai"/>
    <n v="34"/>
    <n v="15"/>
    <n v="3099"/>
    <n v="55317.15"/>
    <n v="0.1596638655462185"/>
    <n v="8832.1500000000015"/>
  </r>
  <r>
    <s v="ORD0448"/>
    <s v="2024-04-18"/>
    <x v="1"/>
    <s v="Amit Sharma"/>
    <s v="South"/>
    <s v="Electronics"/>
    <s v="Laptop"/>
    <s v="Laptop Dell"/>
    <s v="Reliance Digital"/>
    <s v="Hyderabad"/>
    <n v="99"/>
    <n v="20"/>
    <n v="489800"/>
    <n v="11951120"/>
    <n v="0.18032786885245902"/>
    <n v="2155120"/>
  </r>
  <r>
    <s v="ORD0449"/>
    <s v="2024-04-24"/>
    <x v="1"/>
    <s v="Anjali Mehta"/>
    <s v="East"/>
    <s v="Furniture"/>
    <s v="Table"/>
    <s v="Wooden Table"/>
    <s v="IKEA"/>
    <s v="Hyderabad"/>
    <n v="26"/>
    <n v="14"/>
    <n v="19200"/>
    <n v="319872"/>
    <n v="0.15966386554621848"/>
    <n v="51072"/>
  </r>
  <r>
    <s v="ORD0450"/>
    <s v="2024-11-17"/>
    <x v="6"/>
    <s v="Amit Sharma"/>
    <s v="West"/>
    <s v="Electronics"/>
    <s v="Mobile"/>
    <s v="iPhone"/>
    <s v="Croma"/>
    <s v="Mumbai"/>
    <n v="24"/>
    <n v="17"/>
    <n v="146400"/>
    <n v="3036336"/>
    <n v="0.18032786885245902"/>
    <n v="547536"/>
  </r>
  <r>
    <s v="ORD0451"/>
    <s v="2024-12-30"/>
    <x v="11"/>
    <s v="Anjali Mehta"/>
    <s v="North"/>
    <s v="Furniture"/>
    <s v="Chair"/>
    <s v="Office Chair"/>
    <s v="IKEA"/>
    <s v="Kolkata"/>
    <n v="95"/>
    <n v="7"/>
    <n v="3145"/>
    <n v="26197.85"/>
    <n v="0.15966386554621845"/>
    <n v="4182.8499999999985"/>
  </r>
  <r>
    <s v="ORD0452"/>
    <s v="2024-05-02"/>
    <x v="2"/>
    <s v="Anjali Mehta"/>
    <s v="South"/>
    <s v="Electronics"/>
    <s v="Mobile"/>
    <s v="iPhone"/>
    <s v="Croma"/>
    <s v="Delhi"/>
    <n v="68"/>
    <n v="19"/>
    <n v="143640"/>
    <n v="3329575.2"/>
    <n v="0.18032786885245905"/>
    <n v="600415.20000000019"/>
  </r>
  <r>
    <s v="ORD0453"/>
    <s v="2024-12-09"/>
    <x v="11"/>
    <s v="Rohit Das"/>
    <s v="East"/>
    <s v="Furniture"/>
    <s v="Table"/>
    <s v="Wooden Table"/>
    <s v="IKEA"/>
    <s v="Delhi"/>
    <n v="32"/>
    <n v="17"/>
    <n v="41020"/>
    <n v="829834.6"/>
    <n v="0.15966386554621848"/>
    <n v="132494.59999999998"/>
  </r>
  <r>
    <s v="ORD0454"/>
    <s v="2024-11-18"/>
    <x v="6"/>
    <s v="Rohit Das"/>
    <s v="South"/>
    <s v="Clothing"/>
    <s v="Men Wear"/>
    <s v="T-shirt"/>
    <s v="Pantaloons"/>
    <s v="Kolkata"/>
    <n v="3"/>
    <n v="4"/>
    <n v="1000"/>
    <n v="4600"/>
    <n v="0.13043478260869565"/>
    <n v="600"/>
  </r>
  <r>
    <s v="ORD0455"/>
    <s v="2024-08-04"/>
    <x v="5"/>
    <s v="Amit Sharma"/>
    <s v="East"/>
    <s v="Furniture"/>
    <s v="Chair"/>
    <s v="Office Chair"/>
    <s v="IKEA"/>
    <s v="Delhi"/>
    <n v="43"/>
    <n v="12"/>
    <n v="4823"/>
    <n v="68872.44"/>
    <n v="0.1596638655462185"/>
    <n v="10996.440000000002"/>
  </r>
  <r>
    <s v="ORD0456"/>
    <s v="2024-02-02"/>
    <x v="9"/>
    <s v="Neha Gupta"/>
    <s v="North"/>
    <s v="Furniture"/>
    <s v="Table"/>
    <s v="Wooden Table"/>
    <s v="IKEA"/>
    <s v="Delhi"/>
    <n v="11"/>
    <n v="7"/>
    <n v="32800"/>
    <n v="273224"/>
    <n v="0.15966386554621848"/>
    <n v="43624"/>
  </r>
  <r>
    <s v="ORD0457"/>
    <s v="2024-03-14"/>
    <x v="10"/>
    <s v="Priya Singh"/>
    <s v="East"/>
    <s v="Electronics"/>
    <s v="Accessories"/>
    <s v="Samsung TV"/>
    <s v="Croma"/>
    <s v="Hyderabad"/>
    <n v="43"/>
    <n v="6"/>
    <n v="39500"/>
    <n v="289140"/>
    <n v="0.18032786885245902"/>
    <n v="52140"/>
  </r>
  <r>
    <s v="ORD0458"/>
    <s v="2024-06-30"/>
    <x v="7"/>
    <s v="Rahul Verma"/>
    <s v="East"/>
    <s v="Electronics"/>
    <s v="Accessories"/>
    <s v="Samsung TV"/>
    <s v="Croma"/>
    <s v="Delhi"/>
    <n v="77"/>
    <n v="7"/>
    <n v="38840"/>
    <n v="331693.59999999998"/>
    <n v="0.18032786885245897"/>
    <n v="59813.599999999977"/>
  </r>
  <r>
    <s v="ORD0459"/>
    <s v="2024-09-17"/>
    <x v="3"/>
    <s v="Anjali Mehta"/>
    <s v="East"/>
    <s v="Furniture"/>
    <s v="Chair"/>
    <s v="Office Chair"/>
    <s v="IKEA"/>
    <s v="Delhi"/>
    <n v="33"/>
    <n v="10"/>
    <n v="2447"/>
    <n v="29119.3"/>
    <n v="0.15966386554621848"/>
    <n v="4649.2999999999993"/>
  </r>
  <r>
    <s v="ORD0460"/>
    <s v="2024-03-31"/>
    <x v="10"/>
    <s v="Priya Singh"/>
    <s v="North"/>
    <s v="Furniture"/>
    <s v="Table"/>
    <s v="Wooden Table"/>
    <s v="IKEA"/>
    <s v="Kolkata"/>
    <n v="59"/>
    <n v="10"/>
    <n v="24960"/>
    <n v="297024"/>
    <n v="0.15966386554621848"/>
    <n v="47424"/>
  </r>
  <r>
    <s v="ORD0461"/>
    <s v="2024-06-24"/>
    <x v="7"/>
    <s v="Anjali Mehta"/>
    <s v="East"/>
    <s v="Electronics"/>
    <s v="Laptop"/>
    <s v="Laptop Dell"/>
    <s v="Croma"/>
    <s v="Delhi"/>
    <n v="54"/>
    <n v="2"/>
    <n v="233366"/>
    <n v="569413.04"/>
    <n v="0.18032786885245908"/>
    <n v="102681.04000000004"/>
  </r>
  <r>
    <s v="ORD0462"/>
    <s v="2024-12-25"/>
    <x v="11"/>
    <s v="Rohit Das"/>
    <s v="West"/>
    <s v="Furniture"/>
    <s v="Table"/>
    <s v="Wooden Table"/>
    <s v="IKEA"/>
    <s v="Bangalore"/>
    <n v="65"/>
    <n v="10"/>
    <n v="18390"/>
    <n v="218841"/>
    <n v="0.15966386554621848"/>
    <n v="34941"/>
  </r>
  <r>
    <s v="ORD0463"/>
    <s v="2024-10-08"/>
    <x v="0"/>
    <s v="Amit Sharma"/>
    <s v="West"/>
    <s v="Electronics"/>
    <s v="Mobile"/>
    <s v="iPhone"/>
    <s v="Croma"/>
    <s v="Mumbai"/>
    <n v="18"/>
    <n v="2"/>
    <n v="149870"/>
    <n v="365682.8"/>
    <n v="0.18032786885245899"/>
    <n v="65942.799999999988"/>
  </r>
  <r>
    <s v="ORD0464"/>
    <s v="2024-02-25"/>
    <x v="9"/>
    <s v="Priya Singh"/>
    <s v="East"/>
    <s v="Clothing"/>
    <s v="Men Wear"/>
    <s v="T-shirt"/>
    <s v="Big Bazaar"/>
    <s v="Bangalore"/>
    <n v="73"/>
    <n v="4"/>
    <n v="500"/>
    <n v="2300"/>
    <n v="0.13043478260869565"/>
    <n v="300"/>
  </r>
  <r>
    <s v="ORD0465"/>
    <s v="2024-02-28"/>
    <x v="9"/>
    <s v="Priya Singh"/>
    <s v="South"/>
    <s v="Electronics"/>
    <s v="Mobile"/>
    <s v="iPhone"/>
    <s v="Reliance Digital"/>
    <s v="Mumbai"/>
    <n v="49"/>
    <n v="20"/>
    <n v="139030"/>
    <n v="3392332"/>
    <n v="0.18032786885245902"/>
    <n v="611732"/>
  </r>
  <r>
    <s v="ORD0466"/>
    <s v="2024-06-07"/>
    <x v="7"/>
    <s v="Anjali Mehta"/>
    <s v="North"/>
    <s v="Clothing"/>
    <s v="Women Wear"/>
    <s v="Jeans"/>
    <s v="Pantaloons"/>
    <s v="Bangalore"/>
    <n v="33"/>
    <n v="19"/>
    <n v="2662"/>
    <n v="58164.7"/>
    <n v="0.13043478260869562"/>
    <n v="7586.6999999999971"/>
  </r>
  <r>
    <s v="ORD0467"/>
    <s v="2024-04-15"/>
    <x v="1"/>
    <s v="Rohit Das"/>
    <s v="South"/>
    <s v="Electronics"/>
    <s v="Laptop"/>
    <s v="Laptop Dell"/>
    <s v="Reliance Digital"/>
    <s v="Mumbai"/>
    <n v="92"/>
    <n v="19"/>
    <n v="35687"/>
    <n v="827224.66"/>
    <n v="0.18032786885245905"/>
    <n v="149171.66000000003"/>
  </r>
  <r>
    <s v="ORD0468"/>
    <s v="2024-08-14"/>
    <x v="5"/>
    <s v="Rahul Verma"/>
    <s v="East"/>
    <s v="Clothing"/>
    <s v="Women Wear"/>
    <s v="Jeans"/>
    <s v="Big Bazaar"/>
    <s v="Delhi"/>
    <n v="53"/>
    <n v="15"/>
    <n v="2358"/>
    <n v="40675.5"/>
    <n v="0.13043478260869565"/>
    <n v="5305.5"/>
  </r>
  <r>
    <s v="ORD0469"/>
    <s v="2024-06-11"/>
    <x v="7"/>
    <s v="Rahul Verma"/>
    <s v="West"/>
    <s v="Clothing"/>
    <s v="Women Wear"/>
    <s v="Jeans"/>
    <s v="Pantaloons"/>
    <s v="Hyderabad"/>
    <n v="14"/>
    <n v="6"/>
    <n v="800"/>
    <n v="5520"/>
    <n v="0.13043478260869565"/>
    <n v="720"/>
  </r>
  <r>
    <s v="ORD0470"/>
    <s v="2024-06-16"/>
    <x v="7"/>
    <s v="Rohit Das"/>
    <s v="North"/>
    <s v="Electronics"/>
    <s v="Laptop"/>
    <s v="Laptop Dell"/>
    <s v="Croma"/>
    <s v="Kolkata"/>
    <n v="66"/>
    <n v="6"/>
    <n v="471500"/>
    <n v="3451380"/>
    <n v="0.18032786885245902"/>
    <n v="622380"/>
  </r>
  <r>
    <s v="ORD0471"/>
    <s v="2024-04-15"/>
    <x v="1"/>
    <s v="Neha Gupta"/>
    <s v="North"/>
    <s v="Electronics"/>
    <s v="Mobile"/>
    <s v="iPhone"/>
    <s v="Croma"/>
    <s v="Mumbai"/>
    <n v="33"/>
    <n v="6"/>
    <n v="87500"/>
    <n v="640500"/>
    <n v="0.18032786885245902"/>
    <n v="115500"/>
  </r>
  <r>
    <s v="ORD0472"/>
    <s v="2024-05-22"/>
    <x v="2"/>
    <s v="Amit Sharma"/>
    <s v="North"/>
    <s v="Furniture"/>
    <s v="Table"/>
    <s v="Wooden Table"/>
    <s v="IKEA"/>
    <s v="Kolkata"/>
    <n v="83"/>
    <n v="5"/>
    <n v="56660"/>
    <n v="337127"/>
    <n v="0.15966386554621848"/>
    <n v="53827"/>
  </r>
  <r>
    <s v="ORD0473"/>
    <s v="2024-07-02"/>
    <x v="4"/>
    <s v="Neha Gupta"/>
    <s v="South"/>
    <s v="Electronics"/>
    <s v="Laptop"/>
    <s v="Laptop Dell"/>
    <s v="Croma"/>
    <s v="Hyderabad"/>
    <n v="58"/>
    <n v="11"/>
    <n v="211700"/>
    <n v="2841014"/>
    <n v="0.18032786885245902"/>
    <n v="512314"/>
  </r>
  <r>
    <s v="ORD0474"/>
    <s v="2024-09-19"/>
    <x v="3"/>
    <s v="Anjali Mehta"/>
    <s v="North"/>
    <s v="Furniture"/>
    <s v="Chair"/>
    <s v="Office Chair"/>
    <s v="IKEA"/>
    <s v="Bangalore"/>
    <n v="77"/>
    <n v="13"/>
    <n v="4668"/>
    <n v="72213.960000000006"/>
    <n v="0.15966386554621856"/>
    <n v="11529.960000000006"/>
  </r>
  <r>
    <s v="ORD0475"/>
    <s v="2024-07-29"/>
    <x v="4"/>
    <s v="Amit Sharma"/>
    <s v="West"/>
    <s v="Electronics"/>
    <s v="Laptop"/>
    <s v="Laptop Dell"/>
    <s v="Croma"/>
    <s v="Kolkata"/>
    <n v="1"/>
    <n v="9"/>
    <n v="486100"/>
    <n v="5337378"/>
    <n v="0.18032786885245902"/>
    <n v="962478"/>
  </r>
  <r>
    <s v="ORD0476"/>
    <s v="2024-06-29"/>
    <x v="7"/>
    <s v="Rahul Verma"/>
    <s v="North"/>
    <s v="Clothing"/>
    <s v="Men Wear"/>
    <s v="T-shirt"/>
    <s v="Big Bazaar"/>
    <s v="Bangalore"/>
    <n v="76"/>
    <n v="8"/>
    <n v="600"/>
    <n v="5520"/>
    <n v="0.13043478260869565"/>
    <n v="720"/>
  </r>
  <r>
    <s v="ORD0477"/>
    <s v="2024-07-30"/>
    <x v="4"/>
    <s v="Rahul Verma"/>
    <s v="West"/>
    <s v="Electronics"/>
    <s v="Laptop"/>
    <s v="Laptop Dell"/>
    <s v="Croma"/>
    <s v="Kolkata"/>
    <n v="90"/>
    <n v="17"/>
    <n v="430100"/>
    <n v="8920274"/>
    <n v="0.18032786885245902"/>
    <n v="1608574"/>
  </r>
  <r>
    <s v="ORD0478"/>
    <s v="2024-01-09"/>
    <x v="8"/>
    <s v="Anjali Mehta"/>
    <s v="South"/>
    <s v="Electronics"/>
    <s v="Laptop"/>
    <s v="Laptop Dell"/>
    <s v="Croma"/>
    <s v="Bangalore"/>
    <n v="75"/>
    <n v="17"/>
    <n v="221100"/>
    <n v="4585614"/>
    <n v="0.18032786885245902"/>
    <n v="826914"/>
  </r>
  <r>
    <s v="ORD0479"/>
    <s v="2024-06-04"/>
    <x v="7"/>
    <s v="Rohit Das"/>
    <s v="West"/>
    <s v="Furniture"/>
    <s v="Chair"/>
    <s v="Office Chair"/>
    <s v="IKEA"/>
    <s v="Bangalore"/>
    <n v="55"/>
    <n v="14"/>
    <n v="3639"/>
    <n v="60625.74"/>
    <n v="0.15966386554621845"/>
    <n v="9679.739999999998"/>
  </r>
  <r>
    <s v="ORD0480"/>
    <s v="2024-08-04"/>
    <x v="5"/>
    <s v="Amit Sharma"/>
    <s v="West"/>
    <s v="Electronics"/>
    <s v="Laptop"/>
    <s v="Laptop Dell"/>
    <s v="Croma"/>
    <s v="Mumbai"/>
    <n v="41"/>
    <n v="17"/>
    <n v="233355"/>
    <n v="4839782.7"/>
    <n v="0.18032786885245905"/>
    <n v="872747.70000000019"/>
  </r>
  <r>
    <s v="ORD0481"/>
    <s v="2024-10-31"/>
    <x v="0"/>
    <s v="Priya Singh"/>
    <s v="North"/>
    <s v="Electronics"/>
    <s v="Laptop"/>
    <s v="Laptop Dell"/>
    <s v="Croma"/>
    <s v="Delhi"/>
    <n v="13"/>
    <n v="5"/>
    <n v="262705"/>
    <n v="1602500.5"/>
    <n v="0.18032786885245902"/>
    <n v="288975.5"/>
  </r>
  <r>
    <s v="ORD0482"/>
    <s v="2024-05-17"/>
    <x v="2"/>
    <s v="Anjali Mehta"/>
    <s v="West"/>
    <s v="Furniture"/>
    <s v="Table"/>
    <s v="Wooden Table"/>
    <s v="IKEA"/>
    <s v="Hyderabad"/>
    <n v="51"/>
    <n v="18"/>
    <n v="22340"/>
    <n v="478522.8"/>
    <n v="0.15966386554621848"/>
    <n v="76402.799999999988"/>
  </r>
  <r>
    <s v="ORD0483"/>
    <s v="2024-05-23"/>
    <x v="2"/>
    <s v="Rahul Verma"/>
    <s v="East"/>
    <s v="Furniture"/>
    <s v="Chair"/>
    <s v="Office Chair"/>
    <s v="IKEA"/>
    <s v="Bangalore"/>
    <n v="65"/>
    <n v="14"/>
    <n v="1700"/>
    <n v="28322"/>
    <n v="0.15966386554621848"/>
    <n v="4522"/>
  </r>
  <r>
    <s v="ORD0484"/>
    <s v="2024-08-20"/>
    <x v="5"/>
    <s v="Anjali Mehta"/>
    <s v="North"/>
    <s v="Clothing"/>
    <s v="Women Wear"/>
    <s v="Jeans"/>
    <s v="Pantaloons"/>
    <s v="Hyderabad"/>
    <n v="12"/>
    <n v="2"/>
    <n v="1313"/>
    <n v="3019.9"/>
    <n v="0.13043478260869568"/>
    <n v="393.90000000000009"/>
  </r>
  <r>
    <s v="ORD0485"/>
    <s v="2024-07-08"/>
    <x v="4"/>
    <s v="Neha Gupta"/>
    <s v="South"/>
    <s v="Furniture"/>
    <s v="Table"/>
    <s v="Wooden Table"/>
    <s v="IKEA"/>
    <s v="Bangalore"/>
    <n v="72"/>
    <n v="7"/>
    <n v="40140"/>
    <n v="334366.2"/>
    <n v="0.1596638655462185"/>
    <n v="53386.200000000012"/>
  </r>
  <r>
    <s v="ORD0486"/>
    <s v="2024-12-08"/>
    <x v="11"/>
    <s v="Rohit Das"/>
    <s v="North"/>
    <s v="Electronics"/>
    <s v="Laptop"/>
    <s v="Laptop Dell"/>
    <s v="Croma"/>
    <s v="Mumbai"/>
    <n v="91"/>
    <n v="3"/>
    <n v="242105"/>
    <n v="886104.3"/>
    <n v="0.18032786885245905"/>
    <n v="159789.30000000005"/>
  </r>
  <r>
    <s v="ORD0487"/>
    <s v="2024-01-19"/>
    <x v="8"/>
    <s v="Neha Gupta"/>
    <s v="North"/>
    <s v="Clothing"/>
    <s v="Women Wear"/>
    <s v="Jeans"/>
    <s v="Big Bazaar"/>
    <s v="Mumbai"/>
    <n v="99"/>
    <n v="10"/>
    <n v="1875"/>
    <n v="21562.5"/>
    <n v="0.13043478260869565"/>
    <n v="2812.5"/>
  </r>
  <r>
    <s v="ORD0488"/>
    <s v="2024-11-22"/>
    <x v="6"/>
    <s v="Priya Singh"/>
    <s v="East"/>
    <s v="Electronics"/>
    <s v="Laptop"/>
    <s v="Laptop Dell"/>
    <s v="Croma"/>
    <s v="Hyderabad"/>
    <n v="89"/>
    <n v="11"/>
    <n v="321930"/>
    <n v="4320300.5999999996"/>
    <n v="0.18032786885245894"/>
    <n v="779070.59999999963"/>
  </r>
  <r>
    <s v="ORD0489"/>
    <s v="2024-11-02"/>
    <x v="6"/>
    <s v="Rahul Verma"/>
    <s v="West"/>
    <s v="Electronics"/>
    <s v="Accessories"/>
    <s v="Samsung TV"/>
    <s v="Reliance Digital"/>
    <s v="Mumbai"/>
    <n v="18"/>
    <n v="10"/>
    <n v="227000"/>
    <n v="2769400"/>
    <n v="0.18032786885245902"/>
    <n v="499400"/>
  </r>
  <r>
    <s v="ORD0490"/>
    <s v="2024-03-22"/>
    <x v="10"/>
    <s v="Rohit Das"/>
    <s v="East"/>
    <s v="Furniture"/>
    <s v="Table"/>
    <s v="Wooden Table"/>
    <s v="IKEA"/>
    <s v="Hyderabad"/>
    <n v="6"/>
    <n v="14"/>
    <n v="34080"/>
    <n v="567772.80000000005"/>
    <n v="0.15966386554621856"/>
    <n v="90652.800000000047"/>
  </r>
  <r>
    <s v="ORD0491"/>
    <s v="2024-06-01"/>
    <x v="7"/>
    <s v="Rahul Verma"/>
    <s v="West"/>
    <s v="Furniture"/>
    <s v="Chair"/>
    <s v="Office Chair"/>
    <s v="IKEA"/>
    <s v="Mumbai"/>
    <n v="7"/>
    <n v="3"/>
    <n v="2350"/>
    <n v="8389.5"/>
    <n v="0.15966386554621848"/>
    <n v="1339.5"/>
  </r>
  <r>
    <s v="ORD0492"/>
    <s v="2024-10-26"/>
    <x v="0"/>
    <s v="Neha Gupta"/>
    <s v="North"/>
    <s v="Electronics"/>
    <s v="Laptop"/>
    <s v="Laptop Dell"/>
    <s v="Croma"/>
    <s v="Bangalore"/>
    <n v="35"/>
    <n v="7"/>
    <n v="357600"/>
    <n v="3053904"/>
    <n v="0.18032786885245902"/>
    <n v="550704"/>
  </r>
  <r>
    <s v="ORD0493"/>
    <s v="2024-04-14"/>
    <x v="1"/>
    <s v="Amit Sharma"/>
    <s v="West"/>
    <s v="Electronics"/>
    <s v="Laptop"/>
    <s v="Laptop Dell"/>
    <s v="Reliance Digital"/>
    <s v="Hyderabad"/>
    <n v="63"/>
    <n v="3"/>
    <n v="494700"/>
    <n v="1810602"/>
    <n v="0.18032786885245902"/>
    <n v="326502"/>
  </r>
  <r>
    <s v="ORD0494"/>
    <s v="2024-02-24"/>
    <x v="9"/>
    <s v="Rohit Das"/>
    <s v="East"/>
    <s v="Electronics"/>
    <s v="Laptop"/>
    <s v="Laptop Dell"/>
    <s v="Reliance Digital"/>
    <s v="Kolkata"/>
    <n v="51"/>
    <n v="4"/>
    <n v="26950"/>
    <n v="131516"/>
    <n v="0.18032786885245902"/>
    <n v="23716"/>
  </r>
  <r>
    <s v="ORD0495"/>
    <s v="2024-12-06"/>
    <x v="11"/>
    <s v="Neha Gupta"/>
    <s v="East"/>
    <s v="Clothing"/>
    <s v="Women Wear"/>
    <s v="Jeans"/>
    <s v="Big Bazaar"/>
    <s v="Mumbai"/>
    <n v="93"/>
    <n v="4"/>
    <n v="3788"/>
    <n v="17424.8"/>
    <n v="0.13043478260869562"/>
    <n v="2272.7999999999993"/>
  </r>
  <r>
    <s v="ORD0496"/>
    <s v="2024-05-30"/>
    <x v="2"/>
    <s v="Rohit Das"/>
    <s v="West"/>
    <s v="Furniture"/>
    <s v="Chair"/>
    <s v="Office Chair"/>
    <s v="IKEA"/>
    <s v="Kolkata"/>
    <n v="91"/>
    <n v="8"/>
    <n v="1227"/>
    <n v="11681.04"/>
    <n v="0.15966386554621856"/>
    <n v="1865.0400000000009"/>
  </r>
  <r>
    <s v="ORD0497"/>
    <s v="2024-09-27"/>
    <x v="3"/>
    <s v="Rahul Verma"/>
    <s v="South"/>
    <s v="Electronics"/>
    <s v="Accessories"/>
    <s v="Samsung TV"/>
    <s v="Reliance Digital"/>
    <s v="Kolkata"/>
    <n v="80"/>
    <n v="10"/>
    <n v="309600"/>
    <n v="3777120"/>
    <n v="0.18032786885245902"/>
    <n v="681120"/>
  </r>
  <r>
    <s v="ORD0498"/>
    <s v="2024-01-30"/>
    <x v="8"/>
    <s v="Neha Gupta"/>
    <s v="South"/>
    <s v="Electronics"/>
    <s v="Accessories"/>
    <s v="Samsung TV"/>
    <s v="Reliance Digital"/>
    <s v="Hyderabad"/>
    <n v="22"/>
    <n v="4"/>
    <n v="142200"/>
    <n v="693936"/>
    <n v="0.18032786885245902"/>
    <n v="125136"/>
  </r>
  <r>
    <s v="ORD0499"/>
    <s v="2024-10-26"/>
    <x v="0"/>
    <s v="Anjali Mehta"/>
    <s v="East"/>
    <s v="Furniture"/>
    <s v="Chair"/>
    <s v="Office Chair"/>
    <s v="IKEA"/>
    <s v="Kolkata"/>
    <n v="63"/>
    <n v="6"/>
    <n v="3648"/>
    <n v="26046.720000000001"/>
    <n v="0.15966386554621853"/>
    <n v="4158.7200000000012"/>
  </r>
  <r>
    <s v="ORD0500"/>
    <s v="2024-11-11"/>
    <x v="6"/>
    <s v="Rohit Das"/>
    <s v="West"/>
    <s v="Electronics"/>
    <s v="Laptop"/>
    <s v="Laptop Dell"/>
    <s v="Reliance Digital"/>
    <s v="Mumbai"/>
    <n v="76"/>
    <n v="4"/>
    <n v="478300"/>
    <n v="2334104"/>
    <n v="0.18032786885245902"/>
    <n v="420904"/>
  </r>
  <r>
    <m/>
    <m/>
    <x v="12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264F4-4FE4-49DD-8124-7F88FB5213E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Item_Name">
  <location ref="B11:D19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4"/>
        <item x="0"/>
        <item x="1"/>
        <item x="5"/>
        <item x="2"/>
        <item x="3"/>
        <item t="default"/>
      </items>
    </pivotField>
    <pivotField showAll="0"/>
    <pivotField showAll="0"/>
    <pivotField numFmtId="1" showAll="0"/>
    <pivotField numFmtId="1" showAll="0"/>
    <pivotField numFmtId="2" showAll="0"/>
    <pivotField dataField="1" numFmtId="2" showAll="0"/>
    <pivotField dataField="1" numFmtId="2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Sales" fld="12" baseField="0" baseItem="0" numFmtId="2"/>
    <dataField name="Total_Profit" fld="13" baseField="0" baseItem="0" numFmtId="2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0AB28B-7646-41D6-AFF4-B17CB5EBA25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Sales_Persons">
  <location ref="B2:D9" firstHeaderRow="0" firstDataRow="1" firstDataCol="1"/>
  <pivotFields count="14">
    <pivotField showAll="0"/>
    <pivotField showAll="0"/>
    <pivotField axis="axisRow" showAll="0">
      <items count="7">
        <item x="2"/>
        <item x="4"/>
        <item x="0"/>
        <item x="5"/>
        <item x="1"/>
        <item x="3"/>
        <item t="default"/>
      </items>
    </pivotField>
    <pivotField showAll="0"/>
    <pivotField showAll="0"/>
    <pivotField showAll="0"/>
    <pivotField showAll="0">
      <items count="8">
        <item x="6"/>
        <item x="4"/>
        <item x="0"/>
        <item x="1"/>
        <item x="5"/>
        <item x="2"/>
        <item x="3"/>
        <item t="default"/>
      </items>
    </pivotField>
    <pivotField showAll="0"/>
    <pivotField showAll="0"/>
    <pivotField numFmtId="1" showAll="0"/>
    <pivotField numFmtId="1" showAll="0"/>
    <pivotField numFmtId="2" showAll="0"/>
    <pivotField dataField="1" numFmtId="2" showAll="0">
      <items count="497">
        <item x="37"/>
        <item x="108"/>
        <item x="94"/>
        <item x="51"/>
        <item x="277"/>
        <item x="460"/>
        <item x="421"/>
        <item x="7"/>
        <item x="72"/>
        <item x="479"/>
        <item x="48"/>
        <item x="178"/>
        <item x="217"/>
        <item x="142"/>
        <item x="450"/>
        <item x="330"/>
        <item x="189"/>
        <item x="261"/>
        <item x="272"/>
        <item x="293"/>
        <item x="465"/>
        <item x="437"/>
        <item x="314"/>
        <item x="355"/>
        <item x="425"/>
        <item x="327"/>
        <item x="342"/>
        <item x="130"/>
        <item x="368"/>
        <item x="318"/>
        <item x="369"/>
        <item x="486"/>
        <item x="245"/>
        <item x="207"/>
        <item x="69"/>
        <item x="239"/>
        <item x="359"/>
        <item x="415"/>
        <item x="345"/>
        <item x="428"/>
        <item x="127"/>
        <item x="102"/>
        <item x="311"/>
        <item x="325"/>
        <item x="434"/>
        <item x="120"/>
        <item x="392"/>
        <item x="157"/>
        <item x="243"/>
        <item x="87"/>
        <item x="346"/>
        <item x="426"/>
        <item x="491"/>
        <item x="439"/>
        <item x="123"/>
        <item x="286"/>
        <item x="363"/>
        <item x="324"/>
        <item x="349"/>
        <item x="162"/>
        <item x="370"/>
        <item x="280"/>
        <item x="333"/>
        <item x="257"/>
        <item x="188"/>
        <item x="255"/>
        <item x="43"/>
        <item x="389"/>
        <item x="278"/>
        <item x="229"/>
        <item x="49"/>
        <item x="215"/>
        <item x="190"/>
        <item x="336"/>
        <item x="148"/>
        <item x="292"/>
        <item x="351"/>
        <item x="331"/>
        <item x="490"/>
        <item x="55"/>
        <item x="410"/>
        <item x="113"/>
        <item x="322"/>
        <item x="440"/>
        <item x="309"/>
        <item x="111"/>
        <item x="299"/>
        <item x="107"/>
        <item x="93"/>
        <item x="332"/>
        <item x="304"/>
        <item x="362"/>
        <item x="288"/>
        <item x="18"/>
        <item x="365"/>
        <item x="241"/>
        <item x="482"/>
        <item x="166"/>
        <item x="374"/>
        <item x="383"/>
        <item x="13"/>
        <item x="71"/>
        <item x="175"/>
        <item x="372"/>
        <item x="6"/>
        <item x="213"/>
        <item x="432"/>
        <item x="11"/>
        <item x="494"/>
        <item x="447"/>
        <item x="101"/>
        <item x="126"/>
        <item x="138"/>
        <item x="131"/>
        <item x="281"/>
        <item x="209"/>
        <item x="39"/>
        <item x="52"/>
        <item x="3"/>
        <item x="478"/>
        <item x="114"/>
        <item x="170"/>
        <item x="256"/>
        <item x="375"/>
        <item x="24"/>
        <item x="455"/>
        <item x="115"/>
        <item x="319"/>
        <item x="78"/>
        <item x="68"/>
        <item x="211"/>
        <item x="300"/>
        <item x="116"/>
        <item x="441"/>
        <item x="133"/>
        <item x="152"/>
        <item x="156"/>
        <item x="377"/>
        <item x="118"/>
        <item x="419"/>
        <item x="70"/>
        <item x="119"/>
        <item x="161"/>
        <item x="412"/>
        <item x="9"/>
        <item x="88"/>
        <item x="378"/>
        <item x="177"/>
        <item x="146"/>
        <item x="397"/>
        <item x="59"/>
        <item x="134"/>
        <item x="464"/>
        <item x="382"/>
        <item x="267"/>
        <item x="90"/>
        <item x="47"/>
        <item x="29"/>
        <item x="129"/>
        <item x="235"/>
        <item x="187"/>
        <item x="290"/>
        <item x="276"/>
        <item x="169"/>
        <item x="64"/>
        <item x="225"/>
        <item x="184"/>
        <item x="233"/>
        <item x="96"/>
        <item x="230"/>
        <item x="254"/>
        <item x="136"/>
        <item x="246"/>
        <item x="273"/>
        <item x="89"/>
        <item x="10"/>
        <item x="373"/>
        <item x="8"/>
        <item x="443"/>
        <item x="381"/>
        <item x="305"/>
        <item x="442"/>
        <item x="172"/>
        <item x="462"/>
        <item x="86"/>
        <item x="53"/>
        <item x="139"/>
        <item x="388"/>
        <item x="474"/>
        <item x="298"/>
        <item x="238"/>
        <item x="122"/>
        <item x="282"/>
        <item x="223"/>
        <item x="360"/>
        <item x="38"/>
        <item x="5"/>
        <item x="202"/>
        <item x="174"/>
        <item x="291"/>
        <item x="227"/>
        <item x="32"/>
        <item x="451"/>
        <item x="167"/>
        <item x="199"/>
        <item x="328"/>
        <item x="470"/>
        <item x="218"/>
        <item x="195"/>
        <item x="200"/>
        <item x="57"/>
        <item x="99"/>
        <item x="160"/>
        <item x="270"/>
        <item x="367"/>
        <item x="400"/>
        <item x="67"/>
        <item x="100"/>
        <item x="23"/>
        <item x="344"/>
        <item x="252"/>
        <item x="317"/>
        <item x="191"/>
        <item x="95"/>
        <item x="435"/>
        <item x="73"/>
        <item x="310"/>
        <item x="430"/>
        <item x="423"/>
        <item x="2"/>
        <item x="338"/>
        <item x="154"/>
        <item x="343"/>
        <item x="303"/>
        <item x="222"/>
        <item x="80"/>
        <item x="348"/>
        <item x="158"/>
        <item x="192"/>
        <item x="321"/>
        <item x="489"/>
        <item x="176"/>
        <item x="251"/>
        <item x="268"/>
        <item x="109"/>
        <item x="244"/>
        <item x="334"/>
        <item x="269"/>
        <item x="224"/>
        <item x="409"/>
        <item x="150"/>
        <item x="404"/>
        <item x="384"/>
        <item x="15"/>
        <item x="234"/>
        <item x="329"/>
        <item x="210"/>
        <item x="407"/>
        <item x="143"/>
        <item x="125"/>
        <item x="341"/>
        <item x="25"/>
        <item x="46"/>
        <item x="220"/>
        <item x="253"/>
        <item x="458"/>
        <item x="385"/>
        <item x="283"/>
        <item x="424"/>
        <item x="306"/>
        <item x="141"/>
        <item x="54"/>
        <item x="17"/>
        <item x="63"/>
        <item x="340"/>
        <item x="212"/>
        <item x="140"/>
        <item x="236"/>
        <item x="104"/>
        <item x="308"/>
        <item x="145"/>
        <item x="452"/>
        <item x="151"/>
        <item x="31"/>
        <item x="248"/>
        <item x="356"/>
        <item x="453"/>
        <item x="312"/>
        <item x="132"/>
        <item x="285"/>
        <item x="456"/>
        <item x="396"/>
        <item x="91"/>
        <item x="266"/>
        <item x="405"/>
        <item x="445"/>
        <item x="14"/>
        <item x="250"/>
        <item x="204"/>
        <item x="454"/>
        <item x="279"/>
        <item x="231"/>
        <item x="480"/>
        <item x="468"/>
        <item x="403"/>
        <item x="228"/>
        <item x="417"/>
        <item x="275"/>
        <item x="60"/>
        <item x="337"/>
        <item x="65"/>
        <item x="44"/>
        <item x="247"/>
        <item x="185"/>
        <item x="168"/>
        <item x="459"/>
        <item x="390"/>
        <item x="4"/>
        <item x="402"/>
        <item x="16"/>
        <item x="418"/>
        <item x="260"/>
        <item x="179"/>
        <item x="149"/>
        <item x="186"/>
        <item x="159"/>
        <item x="106"/>
        <item x="391"/>
        <item x="171"/>
        <item x="411"/>
        <item x="371"/>
        <item x="274"/>
        <item x="339"/>
        <item x="354"/>
        <item x="350"/>
        <item x="289"/>
        <item x="62"/>
        <item x="296"/>
        <item x="85"/>
        <item x="183"/>
        <item x="420"/>
        <item x="477"/>
        <item x="366"/>
        <item x="173"/>
        <item x="27"/>
        <item x="302"/>
        <item x="81"/>
        <item x="84"/>
        <item x="34"/>
        <item x="433"/>
        <item x="181"/>
        <item x="40"/>
        <item x="83"/>
        <item x="364"/>
        <item x="0"/>
        <item x="485"/>
        <item x="457"/>
        <item x="431"/>
        <item x="216"/>
        <item x="427"/>
        <item x="12"/>
        <item x="206"/>
        <item x="105"/>
        <item x="103"/>
        <item x="66"/>
        <item x="180"/>
        <item x="97"/>
        <item x="205"/>
        <item x="147"/>
        <item x="467"/>
        <item x="398"/>
        <item x="28"/>
        <item x="436"/>
        <item x="30"/>
        <item x="237"/>
        <item x="295"/>
        <item x="353"/>
        <item x="493"/>
        <item x="335"/>
        <item x="401"/>
        <item x="74"/>
        <item x="110"/>
        <item x="357"/>
        <item x="201"/>
        <item x="144"/>
        <item x="271"/>
        <item x="387"/>
        <item x="194"/>
        <item x="19"/>
        <item x="20"/>
        <item x="463"/>
        <item x="449"/>
        <item x="79"/>
        <item x="121"/>
        <item x="408"/>
        <item x="50"/>
        <item x="58"/>
        <item x="193"/>
        <item x="481"/>
        <item x="36"/>
        <item x="219"/>
        <item x="240"/>
        <item x="361"/>
        <item x="287"/>
        <item x="76"/>
        <item x="196"/>
        <item x="221"/>
        <item x="297"/>
        <item x="376"/>
        <item x="399"/>
        <item x="82"/>
        <item x="182"/>
        <item x="41"/>
        <item x="226"/>
        <item x="358"/>
        <item x="315"/>
        <item x="98"/>
        <item x="112"/>
        <item x="379"/>
        <item x="61"/>
        <item x="316"/>
        <item x="259"/>
        <item x="394"/>
        <item x="352"/>
        <item x="313"/>
        <item x="22"/>
        <item x="232"/>
        <item x="135"/>
        <item x="1"/>
        <item x="393"/>
        <item x="137"/>
        <item x="26"/>
        <item x="263"/>
        <item x="262"/>
        <item x="258"/>
        <item x="284"/>
        <item x="476"/>
        <item x="198"/>
        <item x="294"/>
        <item x="21"/>
        <item x="406"/>
        <item x="117"/>
        <item x="488"/>
        <item x="416"/>
        <item x="45"/>
        <item x="75"/>
        <item x="214"/>
        <item x="128"/>
        <item x="242"/>
        <item x="249"/>
        <item x="347"/>
        <item x="56"/>
        <item x="495"/>
        <item x="413"/>
        <item x="438"/>
        <item x="164"/>
        <item x="42"/>
        <item x="301"/>
        <item x="124"/>
        <item x="264"/>
        <item x="484"/>
        <item x="153"/>
        <item x="469"/>
        <item x="203"/>
        <item x="163"/>
        <item x="380"/>
        <item x="446"/>
        <item x="487"/>
        <item x="386"/>
        <item x="320"/>
        <item x="265"/>
        <item x="448"/>
        <item x="165"/>
        <item x="461"/>
        <item x="466"/>
        <item x="395"/>
        <item x="326"/>
        <item x="92"/>
        <item x="492"/>
        <item x="422"/>
        <item x="35"/>
        <item x="483"/>
        <item x="33"/>
        <item x="155"/>
        <item x="473"/>
        <item x="323"/>
        <item x="475"/>
        <item x="471"/>
        <item x="197"/>
        <item x="414"/>
        <item x="208"/>
        <item x="472"/>
        <item x="429"/>
        <item x="307"/>
        <item x="77"/>
        <item x="444"/>
        <item t="default"/>
      </items>
    </pivotField>
    <pivotField dataField="1" numFmtId="2" showAll="0">
      <items count="498">
        <item x="37"/>
        <item x="108"/>
        <item x="94"/>
        <item x="277"/>
        <item x="51"/>
        <item x="461"/>
        <item x="422"/>
        <item x="7"/>
        <item x="72"/>
        <item x="480"/>
        <item x="48"/>
        <item x="178"/>
        <item x="217"/>
        <item x="142"/>
        <item x="451"/>
        <item x="330"/>
        <item x="189"/>
        <item x="272"/>
        <item x="293"/>
        <item x="466"/>
        <item x="314"/>
        <item x="355"/>
        <item x="426"/>
        <item x="261"/>
        <item x="327"/>
        <item x="438"/>
        <item x="342"/>
        <item x="130"/>
        <item x="318"/>
        <item x="369"/>
        <item x="245"/>
        <item x="69"/>
        <item x="239"/>
        <item x="359"/>
        <item x="416"/>
        <item x="368"/>
        <item x="345"/>
        <item x="429"/>
        <item x="127"/>
        <item x="311"/>
        <item x="487"/>
        <item x="325"/>
        <item x="435"/>
        <item x="120"/>
        <item x="393"/>
        <item x="207"/>
        <item x="157"/>
        <item x="243"/>
        <item x="87"/>
        <item x="346"/>
        <item x="427"/>
        <item x="123"/>
        <item x="286"/>
        <item x="363"/>
        <item x="102"/>
        <item x="280"/>
        <item x="333"/>
        <item x="492"/>
        <item x="440"/>
        <item x="390"/>
        <item x="229"/>
        <item x="49"/>
        <item x="324"/>
        <item x="190"/>
        <item x="349"/>
        <item x="336"/>
        <item x="292"/>
        <item x="162"/>
        <item x="331"/>
        <item x="370"/>
        <item x="491"/>
        <item x="257"/>
        <item x="188"/>
        <item x="55"/>
        <item x="255"/>
        <item x="43"/>
        <item x="113"/>
        <item x="278"/>
        <item x="441"/>
        <item x="309"/>
        <item x="215"/>
        <item x="299"/>
        <item x="107"/>
        <item x="332"/>
        <item x="304"/>
        <item x="148"/>
        <item x="362"/>
        <item x="351"/>
        <item x="18"/>
        <item x="365"/>
        <item x="241"/>
        <item x="483"/>
        <item x="411"/>
        <item x="322"/>
        <item x="384"/>
        <item x="111"/>
        <item x="71"/>
        <item x="175"/>
        <item x="93"/>
        <item x="288"/>
        <item x="11"/>
        <item x="101"/>
        <item x="126"/>
        <item x="138"/>
        <item x="131"/>
        <item x="281"/>
        <item x="209"/>
        <item x="39"/>
        <item x="166"/>
        <item x="52"/>
        <item x="374"/>
        <item x="3"/>
        <item x="114"/>
        <item x="170"/>
        <item x="256"/>
        <item x="13"/>
        <item x="375"/>
        <item x="24"/>
        <item x="115"/>
        <item x="319"/>
        <item x="372"/>
        <item x="211"/>
        <item x="6"/>
        <item x="300"/>
        <item x="213"/>
        <item x="442"/>
        <item x="433"/>
        <item x="133"/>
        <item x="495"/>
        <item x="448"/>
        <item x="152"/>
        <item x="156"/>
        <item x="479"/>
        <item x="456"/>
        <item x="118"/>
        <item x="420"/>
        <item x="78"/>
        <item x="68"/>
        <item x="70"/>
        <item x="161"/>
        <item x="413"/>
        <item x="88"/>
        <item x="134"/>
        <item x="465"/>
        <item x="382"/>
        <item x="267"/>
        <item x="90"/>
        <item x="116"/>
        <item x="377"/>
        <item x="129"/>
        <item x="235"/>
        <item x="119"/>
        <item x="9"/>
        <item x="378"/>
        <item x="290"/>
        <item x="276"/>
        <item x="177"/>
        <item x="169"/>
        <item x="64"/>
        <item x="146"/>
        <item x="398"/>
        <item x="233"/>
        <item x="230"/>
        <item x="254"/>
        <item x="47"/>
        <item x="29"/>
        <item x="136"/>
        <item x="246"/>
        <item x="273"/>
        <item x="373"/>
        <item x="305"/>
        <item x="59"/>
        <item x="187"/>
        <item x="172"/>
        <item x="463"/>
        <item x="53"/>
        <item x="225"/>
        <item x="238"/>
        <item x="96"/>
        <item x="122"/>
        <item x="89"/>
        <item x="10"/>
        <item x="174"/>
        <item x="291"/>
        <item x="8"/>
        <item x="444"/>
        <item x="381"/>
        <item x="184"/>
        <item x="443"/>
        <item x="328"/>
        <item x="86"/>
        <item x="195"/>
        <item x="139"/>
        <item x="389"/>
        <item x="475"/>
        <item x="298"/>
        <item x="200"/>
        <item x="57"/>
        <item x="223"/>
        <item x="360"/>
        <item x="38"/>
        <item x="5"/>
        <item x="202"/>
        <item x="227"/>
        <item x="270"/>
        <item x="32"/>
        <item x="452"/>
        <item x="401"/>
        <item x="167"/>
        <item x="199"/>
        <item x="471"/>
        <item x="282"/>
        <item x="218"/>
        <item x="67"/>
        <item x="100"/>
        <item x="99"/>
        <item x="160"/>
        <item x="317"/>
        <item x="436"/>
        <item x="73"/>
        <item x="424"/>
        <item x="23"/>
        <item x="344"/>
        <item x="367"/>
        <item x="252"/>
        <item x="191"/>
        <item x="383"/>
        <item x="310"/>
        <item x="431"/>
        <item x="2"/>
        <item x="95"/>
        <item x="303"/>
        <item x="222"/>
        <item x="80"/>
        <item x="158"/>
        <item x="338"/>
        <item x="154"/>
        <item x="343"/>
        <item x="348"/>
        <item x="192"/>
        <item x="321"/>
        <item x="490"/>
        <item x="176"/>
        <item x="109"/>
        <item x="251"/>
        <item x="268"/>
        <item x="405"/>
        <item x="244"/>
        <item x="334"/>
        <item x="15"/>
        <item x="269"/>
        <item x="234"/>
        <item x="210"/>
        <item x="408"/>
        <item x="224"/>
        <item x="410"/>
        <item x="150"/>
        <item x="125"/>
        <item x="341"/>
        <item x="385"/>
        <item x="25"/>
        <item x="46"/>
        <item x="329"/>
        <item x="459"/>
        <item x="386"/>
        <item x="143"/>
        <item x="425"/>
        <item x="220"/>
        <item x="54"/>
        <item x="17"/>
        <item x="63"/>
        <item x="253"/>
        <item x="283"/>
        <item x="340"/>
        <item x="236"/>
        <item x="308"/>
        <item x="306"/>
        <item x="141"/>
        <item x="453"/>
        <item x="151"/>
        <item x="212"/>
        <item x="140"/>
        <item x="312"/>
        <item x="457"/>
        <item x="104"/>
        <item x="145"/>
        <item x="31"/>
        <item x="446"/>
        <item x="248"/>
        <item x="356"/>
        <item x="454"/>
        <item x="250"/>
        <item x="279"/>
        <item x="132"/>
        <item x="285"/>
        <item x="481"/>
        <item x="469"/>
        <item x="404"/>
        <item x="397"/>
        <item x="337"/>
        <item x="91"/>
        <item x="266"/>
        <item x="406"/>
        <item x="44"/>
        <item x="4"/>
        <item x="403"/>
        <item x="14"/>
        <item x="204"/>
        <item x="455"/>
        <item x="260"/>
        <item x="231"/>
        <item x="228"/>
        <item x="418"/>
        <item x="275"/>
        <item x="60"/>
        <item x="186"/>
        <item x="159"/>
        <item x="65"/>
        <item x="247"/>
        <item x="171"/>
        <item x="185"/>
        <item x="168"/>
        <item x="460"/>
        <item x="391"/>
        <item x="16"/>
        <item x="419"/>
        <item x="371"/>
        <item x="339"/>
        <item x="179"/>
        <item x="350"/>
        <item x="149"/>
        <item x="106"/>
        <item x="392"/>
        <item x="296"/>
        <item x="412"/>
        <item x="421"/>
        <item x="274"/>
        <item x="478"/>
        <item x="354"/>
        <item x="27"/>
        <item x="289"/>
        <item x="62"/>
        <item x="84"/>
        <item x="85"/>
        <item x="181"/>
        <item x="183"/>
        <item x="366"/>
        <item x="173"/>
        <item x="302"/>
        <item x="486"/>
        <item x="81"/>
        <item x="34"/>
        <item x="434"/>
        <item x="428"/>
        <item x="105"/>
        <item x="40"/>
        <item x="103"/>
        <item x="66"/>
        <item x="83"/>
        <item x="97"/>
        <item x="364"/>
        <item x="0"/>
        <item x="458"/>
        <item x="432"/>
        <item x="28"/>
        <item x="216"/>
        <item x="295"/>
        <item x="353"/>
        <item x="12"/>
        <item x="206"/>
        <item x="180"/>
        <item x="205"/>
        <item x="147"/>
        <item x="468"/>
        <item x="399"/>
        <item x="74"/>
        <item x="437"/>
        <item x="30"/>
        <item x="237"/>
        <item x="110"/>
        <item x="144"/>
        <item x="271"/>
        <item x="388"/>
        <item x="494"/>
        <item x="335"/>
        <item x="402"/>
        <item x="450"/>
        <item x="357"/>
        <item x="201"/>
        <item x="194"/>
        <item x="19"/>
        <item x="20"/>
        <item x="464"/>
        <item x="79"/>
        <item x="121"/>
        <item x="409"/>
        <item x="50"/>
        <item x="58"/>
        <item x="193"/>
        <item x="482"/>
        <item x="36"/>
        <item x="297"/>
        <item x="219"/>
        <item x="240"/>
        <item x="361"/>
        <item x="287"/>
        <item x="76"/>
        <item x="196"/>
        <item x="221"/>
        <item x="98"/>
        <item x="376"/>
        <item x="400"/>
        <item x="82"/>
        <item x="182"/>
        <item x="41"/>
        <item x="226"/>
        <item x="358"/>
        <item x="315"/>
        <item x="112"/>
        <item x="379"/>
        <item x="61"/>
        <item x="316"/>
        <item x="259"/>
        <item x="395"/>
        <item x="352"/>
        <item x="313"/>
        <item x="22"/>
        <item x="232"/>
        <item x="135"/>
        <item x="1"/>
        <item x="394"/>
        <item x="137"/>
        <item x="26"/>
        <item x="263"/>
        <item x="262"/>
        <item x="258"/>
        <item x="284"/>
        <item x="477"/>
        <item x="198"/>
        <item x="294"/>
        <item x="21"/>
        <item x="407"/>
        <item x="117"/>
        <item x="489"/>
        <item x="417"/>
        <item x="45"/>
        <item x="75"/>
        <item x="214"/>
        <item x="128"/>
        <item x="242"/>
        <item x="249"/>
        <item x="347"/>
        <item x="56"/>
        <item x="496"/>
        <item x="414"/>
        <item x="439"/>
        <item x="164"/>
        <item x="42"/>
        <item x="301"/>
        <item x="124"/>
        <item x="264"/>
        <item x="485"/>
        <item x="153"/>
        <item x="470"/>
        <item x="203"/>
        <item x="163"/>
        <item x="380"/>
        <item x="447"/>
        <item x="488"/>
        <item x="387"/>
        <item x="320"/>
        <item x="265"/>
        <item x="449"/>
        <item x="165"/>
        <item x="462"/>
        <item x="467"/>
        <item x="396"/>
        <item x="326"/>
        <item x="92"/>
        <item x="493"/>
        <item x="423"/>
        <item x="35"/>
        <item x="484"/>
        <item x="33"/>
        <item x="155"/>
        <item x="474"/>
        <item x="323"/>
        <item x="476"/>
        <item x="472"/>
        <item x="197"/>
        <item x="415"/>
        <item x="208"/>
        <item x="473"/>
        <item x="430"/>
        <item x="307"/>
        <item x="77"/>
        <item x="445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Sales" fld="12" baseField="2" baseItem="0" numFmtId="2"/>
    <dataField name="Total_Profit" fld="13" baseField="2" baseItem="0" numFmtId="2"/>
  </dataFields>
  <chartFormats count="2">
    <chartFormat chart="1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F88BE-1762-424F-AE9A-28609D0E218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Item Category">
  <location ref="F17:H21" firstHeaderRow="0" firstDataRow="1" firstDataCol="1"/>
  <pivotFields count="14"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numFmtId="1" showAll="0"/>
    <pivotField numFmtId="1" showAll="0"/>
    <pivotField numFmtId="2" showAll="0"/>
    <pivotField dataField="1" numFmtId="2" showAll="0"/>
    <pivotField dataField="1" numFmtId="2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Sales" fld="12" baseField="0" baseItem="0" numFmtId="2"/>
    <dataField name="Total_Profit" fld="13" baseField="0" baseItem="0" numFmtId="2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3D7F4-F367-4D1A-9DC9-ED33652A917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Month">
  <location ref="F23:H37" firstHeaderRow="0" firstDataRow="1" firstDataCol="1"/>
  <pivotFields count="16">
    <pivotField showAll="0"/>
    <pivotField showAll="0"/>
    <pivotField axis="axisRow" showAll="0">
      <items count="14">
        <item x="8"/>
        <item x="9"/>
        <item x="10"/>
        <item x="1"/>
        <item x="2"/>
        <item x="7"/>
        <item x="4"/>
        <item x="5"/>
        <item x="3"/>
        <item x="0"/>
        <item x="6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3" baseField="0" baseItem="0"/>
    <dataField name="Total Profit" fld="15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9AB29-A97B-4D1A-B347-028FDEE7F6C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Item Sub Category">
  <location ref="B21:D29" firstHeaderRow="0" firstDataRow="1" firstDataCol="1"/>
  <pivotFields count="14">
    <pivotField showAll="0"/>
    <pivotField showAll="0"/>
    <pivotField showAll="0"/>
    <pivotField showAll="0"/>
    <pivotField showAll="0"/>
    <pivotField axis="axisRow" showAll="0">
      <items count="8">
        <item x="5"/>
        <item x="1"/>
        <item x="0"/>
        <item x="2"/>
        <item x="6"/>
        <item x="3"/>
        <item x="4"/>
        <item t="default"/>
      </items>
    </pivotField>
    <pivotField showAll="0"/>
    <pivotField showAll="0"/>
    <pivotField showAll="0"/>
    <pivotField numFmtId="1" showAll="0"/>
    <pivotField numFmtId="1" showAll="0"/>
    <pivotField numFmtId="2" showAll="0"/>
    <pivotField dataField="1" numFmtId="2" showAll="0"/>
    <pivotField dataField="1" numFmtId="2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Sales" fld="12" baseField="0" baseItem="0" numFmtId="2"/>
    <dataField name="Total_Profit" fld="13" baseField="0" baseItem="0" numFmtId="2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B6862-D8A3-40C5-A607-0757DB0273B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tore Branch">
  <location ref="J2:L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numFmtId="1" showAll="0"/>
    <pivotField numFmtId="1" showAll="0"/>
    <pivotField numFmtId="2" showAll="0"/>
    <pivotField dataField="1" numFmtId="2" showAll="0"/>
    <pivotField dataField="1" numFmtId="2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12" baseField="0" baseItem="0" numFmtId="2"/>
    <dataField name="Total Profit" fld="13" baseField="0" baseItem="0" numFmtId="2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CA340-A8A2-4091-A29A-3CA8F39F47A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Item Name">
  <location ref="J10:M1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4"/>
        <item x="0"/>
        <item x="1"/>
        <item x="5"/>
        <item x="2"/>
        <item x="3"/>
        <item t="default"/>
      </items>
    </pivotField>
    <pivotField showAll="0"/>
    <pivotField showAll="0"/>
    <pivotField numFmtId="1" showAll="0"/>
    <pivotField dataField="1" numFmtId="1" showAll="0">
      <items count="21">
        <item x="6"/>
        <item x="4"/>
        <item x="17"/>
        <item x="5"/>
        <item x="9"/>
        <item x="11"/>
        <item x="8"/>
        <item x="0"/>
        <item x="10"/>
        <item x="3"/>
        <item x="16"/>
        <item x="7"/>
        <item x="15"/>
        <item x="12"/>
        <item x="13"/>
        <item x="1"/>
        <item x="18"/>
        <item x="14"/>
        <item x="2"/>
        <item x="19"/>
        <item t="default"/>
      </items>
    </pivotField>
    <pivotField numFmtId="2" showAll="0"/>
    <pivotField dataField="1" numFmtId="2" showAll="0"/>
    <pivotField dataField="1" numFmtId="2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Qty_Sold " fld="10" baseField="6" baseItem="0" numFmtId="1"/>
    <dataField name="Total Sales" fld="12" baseField="0" baseItem="0" numFmtId="2"/>
    <dataField name="Total Profit" fld="13" baseField="0" baseItem="0" numFmtId="2"/>
  </dataFields>
  <chartFormats count="6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F88ED-8BC5-4B4A-9EE4-D656EB7BD9D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s">
  <location ref="F10:H15" firstHeaderRow="0" firstDataRow="1" firstDataCol="1"/>
  <pivotFields count="14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2" showAll="0"/>
    <pivotField dataField="1" numFmtId="2" showAll="0"/>
    <pivotField dataField="1" numFmtId="2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Sales" fld="12" baseField="0" baseItem="0" numFmtId="2"/>
    <dataField name="Total_Profit" fld="13" baseField="0" baseItem="0" numFmtId="2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B3836-1903-4EC0-A2A9-D0BA4822F6E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Store_Name">
  <location ref="F2:H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1"/>
        <item x="2"/>
        <item x="3"/>
        <item t="default"/>
      </items>
    </pivotField>
    <pivotField showAll="0"/>
    <pivotField numFmtId="1" showAll="0"/>
    <pivotField numFmtId="1" showAll="0"/>
    <pivotField numFmtId="2" showAll="0"/>
    <pivotField dataField="1" numFmtId="2" showAll="0"/>
    <pivotField dataField="1" numFmtId="2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Revenue" fld="12" baseField="0" baseItem="0" numFmtId="2"/>
    <dataField name="Total_Profit" fld="13" baseField="0" baseItem="0" numFmtId="2"/>
  </dataFields>
  <chartFormats count="2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zoomScaleNormal="100" workbookViewId="0">
      <selection activeCell="I22" sqref="I22"/>
    </sheetView>
  </sheetViews>
  <sheetFormatPr defaultRowHeight="14.4" x14ac:dyDescent="0.3"/>
  <cols>
    <col min="1" max="1" width="8.6640625" bestFit="1" customWidth="1"/>
    <col min="2" max="2" width="10.33203125" bestFit="1" customWidth="1"/>
    <col min="3" max="3" width="14.44140625" bestFit="1" customWidth="1"/>
    <col min="4" max="4" width="11.44140625" bestFit="1" customWidth="1"/>
    <col min="5" max="5" width="6.77734375" bestFit="1" customWidth="1"/>
    <col min="6" max="6" width="9.88671875" bestFit="1" customWidth="1"/>
    <col min="7" max="7" width="12.44140625" bestFit="1" customWidth="1"/>
    <col min="8" max="8" width="12.88671875" bestFit="1" customWidth="1"/>
    <col min="9" max="9" width="13.5546875" bestFit="1" customWidth="1"/>
    <col min="10" max="10" width="11.77734375" bestFit="1" customWidth="1"/>
    <col min="11" max="11" width="8.5546875" style="28" bestFit="1" customWidth="1"/>
    <col min="12" max="12" width="9" style="28" bestFit="1" customWidth="1"/>
    <col min="13" max="13" width="14" style="19" bestFit="1" customWidth="1"/>
    <col min="14" max="14" width="11.5546875" style="19" bestFit="1" customWidth="1"/>
    <col min="15" max="15" width="10.5546875" style="19" bestFit="1" customWidth="1"/>
  </cols>
  <sheetData>
    <row r="1" spans="1:15" s="8" customFormat="1" ht="15" thickBot="1" x14ac:dyDescent="0.35">
      <c r="A1" s="7" t="s">
        <v>0</v>
      </c>
      <c r="B1" s="7" t="s">
        <v>1</v>
      </c>
      <c r="C1" s="7" t="s">
        <v>839</v>
      </c>
      <c r="D1" s="7" t="s">
        <v>821</v>
      </c>
      <c r="E1" s="7" t="s">
        <v>2</v>
      </c>
      <c r="F1" s="7" t="s">
        <v>3</v>
      </c>
      <c r="G1" s="7" t="s">
        <v>4</v>
      </c>
      <c r="H1" s="7" t="s">
        <v>7</v>
      </c>
      <c r="I1" s="12" t="s">
        <v>8</v>
      </c>
      <c r="J1" s="7" t="s">
        <v>9</v>
      </c>
      <c r="K1" s="20" t="s">
        <v>822</v>
      </c>
      <c r="L1" s="21" t="s">
        <v>823</v>
      </c>
      <c r="M1" s="13" t="s">
        <v>5</v>
      </c>
      <c r="N1" s="13" t="s">
        <v>824</v>
      </c>
      <c r="O1" s="13" t="s">
        <v>6</v>
      </c>
    </row>
    <row r="2" spans="1:15" x14ac:dyDescent="0.3">
      <c r="A2" s="5" t="s">
        <v>10</v>
      </c>
      <c r="B2" s="6" t="s">
        <v>510</v>
      </c>
      <c r="C2" s="6" t="str">
        <f>TEXT(B2, "mmmm")</f>
        <v>October</v>
      </c>
      <c r="D2" s="6" t="s">
        <v>784</v>
      </c>
      <c r="E2" s="6" t="s">
        <v>790</v>
      </c>
      <c r="F2" s="1" t="s">
        <v>796</v>
      </c>
      <c r="G2" s="6" t="s">
        <v>799</v>
      </c>
      <c r="H2" s="6" t="s">
        <v>804</v>
      </c>
      <c r="I2" s="9" t="s">
        <v>812</v>
      </c>
      <c r="J2" s="6" t="s">
        <v>816</v>
      </c>
      <c r="K2" s="22">
        <v>76</v>
      </c>
      <c r="L2" s="23">
        <v>8</v>
      </c>
      <c r="M2" s="14">
        <v>58000</v>
      </c>
      <c r="N2" s="14">
        <v>566080</v>
      </c>
      <c r="O2" s="15">
        <v>102080</v>
      </c>
    </row>
    <row r="3" spans="1:15" x14ac:dyDescent="0.3">
      <c r="A3" s="2" t="s">
        <v>11</v>
      </c>
      <c r="B3" s="1" t="s">
        <v>511</v>
      </c>
      <c r="C3" s="6" t="str">
        <f t="shared" ref="C3:C66" si="0">TEXT(B3, "mmmm")</f>
        <v>April</v>
      </c>
      <c r="D3" s="1" t="s">
        <v>784</v>
      </c>
      <c r="E3" s="1" t="s">
        <v>790</v>
      </c>
      <c r="F3" s="1" t="s">
        <v>796</v>
      </c>
      <c r="G3" s="1" t="s">
        <v>799</v>
      </c>
      <c r="H3" s="1" t="s">
        <v>804</v>
      </c>
      <c r="I3" s="10" t="s">
        <v>812</v>
      </c>
      <c r="J3" s="1" t="s">
        <v>817</v>
      </c>
      <c r="K3" s="24">
        <v>31</v>
      </c>
      <c r="L3" s="25">
        <v>16</v>
      </c>
      <c r="M3" s="16">
        <v>78500</v>
      </c>
      <c r="N3" s="16">
        <v>1532320</v>
      </c>
      <c r="O3" s="15">
        <v>276320</v>
      </c>
    </row>
    <row r="4" spans="1:15" x14ac:dyDescent="0.3">
      <c r="A4" s="2" t="s">
        <v>12</v>
      </c>
      <c r="B4" s="1" t="s">
        <v>512</v>
      </c>
      <c r="C4" s="6" t="str">
        <f t="shared" si="0"/>
        <v>May</v>
      </c>
      <c r="D4" s="1" t="s">
        <v>785</v>
      </c>
      <c r="E4" s="1" t="s">
        <v>790</v>
      </c>
      <c r="F4" s="1" t="s">
        <v>795</v>
      </c>
      <c r="G4" s="1" t="s">
        <v>798</v>
      </c>
      <c r="H4" s="1" t="s">
        <v>805</v>
      </c>
      <c r="I4" s="10" t="s">
        <v>811</v>
      </c>
      <c r="J4" s="1" t="s">
        <v>818</v>
      </c>
      <c r="K4" s="24">
        <v>84</v>
      </c>
      <c r="L4" s="25">
        <v>19</v>
      </c>
      <c r="M4" s="16">
        <v>4917</v>
      </c>
      <c r="N4" s="16">
        <v>111173.37</v>
      </c>
      <c r="O4" s="15">
        <v>17750.369999999995</v>
      </c>
    </row>
    <row r="5" spans="1:15" x14ac:dyDescent="0.3">
      <c r="A5" s="2" t="s">
        <v>13</v>
      </c>
      <c r="B5" s="1" t="s">
        <v>513</v>
      </c>
      <c r="C5" s="6" t="str">
        <f t="shared" si="0"/>
        <v>April</v>
      </c>
      <c r="D5" s="1" t="s">
        <v>785</v>
      </c>
      <c r="E5" s="1" t="s">
        <v>791</v>
      </c>
      <c r="F5" s="1" t="s">
        <v>794</v>
      </c>
      <c r="G5" s="1" t="s">
        <v>801</v>
      </c>
      <c r="H5" s="1" t="s">
        <v>806</v>
      </c>
      <c r="I5" s="10" t="s">
        <v>813</v>
      </c>
      <c r="J5" s="1" t="s">
        <v>816</v>
      </c>
      <c r="K5" s="24">
        <v>86</v>
      </c>
      <c r="L5" s="25">
        <v>8</v>
      </c>
      <c r="M5" s="16">
        <v>2994</v>
      </c>
      <c r="N5" s="16">
        <v>27544.799999999999</v>
      </c>
      <c r="O5" s="15">
        <v>3592.7999999999993</v>
      </c>
    </row>
    <row r="6" spans="1:15" x14ac:dyDescent="0.3">
      <c r="A6" s="2" t="s">
        <v>14</v>
      </c>
      <c r="B6" s="1" t="s">
        <v>514</v>
      </c>
      <c r="C6" s="6" t="str">
        <f t="shared" si="0"/>
        <v>September</v>
      </c>
      <c r="D6" s="1" t="s">
        <v>786</v>
      </c>
      <c r="E6" s="1" t="s">
        <v>791</v>
      </c>
      <c r="F6" s="1" t="s">
        <v>795</v>
      </c>
      <c r="G6" s="1" t="s">
        <v>803</v>
      </c>
      <c r="H6" s="1" t="s">
        <v>807</v>
      </c>
      <c r="I6" s="10" t="s">
        <v>811</v>
      </c>
      <c r="J6" s="1" t="s">
        <v>819</v>
      </c>
      <c r="K6" s="24">
        <v>75</v>
      </c>
      <c r="L6" s="25">
        <v>10</v>
      </c>
      <c r="M6" s="16">
        <v>30820</v>
      </c>
      <c r="N6" s="16">
        <v>366758</v>
      </c>
      <c r="O6" s="15">
        <v>58558</v>
      </c>
    </row>
    <row r="7" spans="1:15" x14ac:dyDescent="0.3">
      <c r="A7" s="2" t="s">
        <v>15</v>
      </c>
      <c r="B7" s="1" t="s">
        <v>515</v>
      </c>
      <c r="C7" s="6" t="str">
        <f t="shared" si="0"/>
        <v>September</v>
      </c>
      <c r="D7" s="1" t="s">
        <v>787</v>
      </c>
      <c r="E7" s="1" t="s">
        <v>790</v>
      </c>
      <c r="F7" s="1" t="s">
        <v>795</v>
      </c>
      <c r="G7" s="1" t="s">
        <v>803</v>
      </c>
      <c r="H7" s="1" t="s">
        <v>807</v>
      </c>
      <c r="I7" s="10" t="s">
        <v>811</v>
      </c>
      <c r="J7" s="1" t="s">
        <v>818</v>
      </c>
      <c r="K7" s="24">
        <v>90</v>
      </c>
      <c r="L7" s="25">
        <v>2</v>
      </c>
      <c r="M7" s="16">
        <v>27560</v>
      </c>
      <c r="N7" s="16">
        <v>65592.800000000003</v>
      </c>
      <c r="O7" s="15">
        <v>10472.800000000003</v>
      </c>
    </row>
    <row r="8" spans="1:15" x14ac:dyDescent="0.3">
      <c r="A8" s="2" t="s">
        <v>16</v>
      </c>
      <c r="B8" s="1" t="s">
        <v>516</v>
      </c>
      <c r="C8" s="6" t="str">
        <f t="shared" si="0"/>
        <v>July</v>
      </c>
      <c r="D8" s="1" t="s">
        <v>788</v>
      </c>
      <c r="E8" s="1" t="s">
        <v>790</v>
      </c>
      <c r="F8" s="1" t="s">
        <v>795</v>
      </c>
      <c r="G8" s="1" t="s">
        <v>798</v>
      </c>
      <c r="H8" s="1" t="s">
        <v>805</v>
      </c>
      <c r="I8" s="10" t="s">
        <v>811</v>
      </c>
      <c r="J8" s="1" t="s">
        <v>819</v>
      </c>
      <c r="K8" s="24">
        <v>73</v>
      </c>
      <c r="L8" s="25">
        <v>16</v>
      </c>
      <c r="M8" s="16">
        <v>1291</v>
      </c>
      <c r="N8" s="16">
        <v>24580.639999999999</v>
      </c>
      <c r="O8" s="15">
        <v>3924.6399999999994</v>
      </c>
    </row>
    <row r="9" spans="1:15" x14ac:dyDescent="0.3">
      <c r="A9" s="2" t="s">
        <v>17</v>
      </c>
      <c r="B9" s="1" t="s">
        <v>517</v>
      </c>
      <c r="C9" s="6" t="str">
        <f t="shared" si="0"/>
        <v>August</v>
      </c>
      <c r="D9" s="1" t="s">
        <v>789</v>
      </c>
      <c r="E9" s="1" t="s">
        <v>792</v>
      </c>
      <c r="F9" s="1" t="s">
        <v>794</v>
      </c>
      <c r="G9" s="1" t="s">
        <v>797</v>
      </c>
      <c r="H9" s="1" t="s">
        <v>808</v>
      </c>
      <c r="I9" s="10" t="s">
        <v>813</v>
      </c>
      <c r="J9" s="1" t="s">
        <v>818</v>
      </c>
      <c r="K9" s="24">
        <v>15</v>
      </c>
      <c r="L9" s="25">
        <v>2</v>
      </c>
      <c r="M9" s="16">
        <v>1108</v>
      </c>
      <c r="N9" s="16">
        <v>2548.4</v>
      </c>
      <c r="O9" s="15">
        <v>332.40000000000009</v>
      </c>
    </row>
    <row r="10" spans="1:15" x14ac:dyDescent="0.3">
      <c r="A10" s="2" t="s">
        <v>18</v>
      </c>
      <c r="B10" s="1" t="s">
        <v>518</v>
      </c>
      <c r="C10" s="6" t="str">
        <f t="shared" si="0"/>
        <v>October</v>
      </c>
      <c r="D10" s="1" t="s">
        <v>784</v>
      </c>
      <c r="E10" s="1" t="s">
        <v>793</v>
      </c>
      <c r="F10" s="1" t="s">
        <v>795</v>
      </c>
      <c r="G10" s="1" t="s">
        <v>803</v>
      </c>
      <c r="H10" s="1" t="s">
        <v>807</v>
      </c>
      <c r="I10" s="10" t="s">
        <v>811</v>
      </c>
      <c r="J10" s="1" t="s">
        <v>817</v>
      </c>
      <c r="K10" s="24">
        <v>60</v>
      </c>
      <c r="L10" s="25">
        <v>4</v>
      </c>
      <c r="M10" s="16">
        <v>11570</v>
      </c>
      <c r="N10" s="16">
        <v>55073.2</v>
      </c>
      <c r="O10" s="15">
        <v>8793.1999999999971</v>
      </c>
    </row>
    <row r="11" spans="1:15" x14ac:dyDescent="0.3">
      <c r="A11" s="2" t="s">
        <v>19</v>
      </c>
      <c r="B11" s="1" t="s">
        <v>519</v>
      </c>
      <c r="C11" s="6" t="str">
        <f t="shared" si="0"/>
        <v>November</v>
      </c>
      <c r="D11" s="1" t="s">
        <v>784</v>
      </c>
      <c r="E11" s="1" t="s">
        <v>790</v>
      </c>
      <c r="F11" s="1" t="s">
        <v>795</v>
      </c>
      <c r="G11" s="1" t="s">
        <v>803</v>
      </c>
      <c r="H11" s="1" t="s">
        <v>807</v>
      </c>
      <c r="I11" s="10" t="s">
        <v>811</v>
      </c>
      <c r="J11" s="1" t="s">
        <v>816</v>
      </c>
      <c r="K11" s="24">
        <v>64</v>
      </c>
      <c r="L11" s="25">
        <v>2</v>
      </c>
      <c r="M11" s="16">
        <v>15670</v>
      </c>
      <c r="N11" s="16">
        <v>37294.6</v>
      </c>
      <c r="O11" s="15">
        <v>5954.5999999999985</v>
      </c>
    </row>
    <row r="12" spans="1:15" x14ac:dyDescent="0.3">
      <c r="A12" s="2" t="s">
        <v>20</v>
      </c>
      <c r="B12" s="1" t="s">
        <v>520</v>
      </c>
      <c r="C12" s="6" t="str">
        <f t="shared" si="0"/>
        <v>June</v>
      </c>
      <c r="D12" s="1" t="s">
        <v>787</v>
      </c>
      <c r="E12" s="1" t="s">
        <v>791</v>
      </c>
      <c r="F12" s="1" t="s">
        <v>795</v>
      </c>
      <c r="G12" s="1" t="s">
        <v>803</v>
      </c>
      <c r="H12" s="1" t="s">
        <v>807</v>
      </c>
      <c r="I12" s="10" t="s">
        <v>811</v>
      </c>
      <c r="J12" s="1" t="s">
        <v>818</v>
      </c>
      <c r="K12" s="24">
        <v>28</v>
      </c>
      <c r="L12" s="25">
        <v>1</v>
      </c>
      <c r="M12" s="16">
        <v>45570</v>
      </c>
      <c r="N12" s="16">
        <v>54228.3</v>
      </c>
      <c r="O12" s="15">
        <v>8658.3000000000029</v>
      </c>
    </row>
    <row r="13" spans="1:15" x14ac:dyDescent="0.3">
      <c r="A13" s="2" t="s">
        <v>21</v>
      </c>
      <c r="B13" s="1" t="s">
        <v>521</v>
      </c>
      <c r="C13" s="6" t="str">
        <f t="shared" si="0"/>
        <v>August</v>
      </c>
      <c r="D13" s="1" t="s">
        <v>788</v>
      </c>
      <c r="E13" s="1" t="s">
        <v>790</v>
      </c>
      <c r="F13" s="1" t="s">
        <v>794</v>
      </c>
      <c r="G13" s="1" t="s">
        <v>797</v>
      </c>
      <c r="H13" s="1" t="s">
        <v>808</v>
      </c>
      <c r="I13" s="10" t="s">
        <v>813</v>
      </c>
      <c r="J13" s="1" t="s">
        <v>819</v>
      </c>
      <c r="K13" s="24">
        <v>82</v>
      </c>
      <c r="L13" s="25">
        <v>12</v>
      </c>
      <c r="M13" s="16">
        <v>1873</v>
      </c>
      <c r="N13" s="16">
        <v>25847.4</v>
      </c>
      <c r="O13" s="15">
        <v>3371.4000000000015</v>
      </c>
    </row>
    <row r="14" spans="1:15" x14ac:dyDescent="0.3">
      <c r="A14" s="2" t="s">
        <v>22</v>
      </c>
      <c r="B14" s="1" t="s">
        <v>522</v>
      </c>
      <c r="C14" s="6" t="str">
        <f t="shared" si="0"/>
        <v>June</v>
      </c>
      <c r="D14" s="1" t="s">
        <v>785</v>
      </c>
      <c r="E14" s="1" t="s">
        <v>791</v>
      </c>
      <c r="F14" s="1" t="s">
        <v>796</v>
      </c>
      <c r="G14" s="1" t="s">
        <v>802</v>
      </c>
      <c r="H14" s="1" t="s">
        <v>809</v>
      </c>
      <c r="I14" s="10" t="s">
        <v>814</v>
      </c>
      <c r="J14" s="1" t="s">
        <v>819</v>
      </c>
      <c r="K14" s="24">
        <v>10</v>
      </c>
      <c r="L14" s="25">
        <v>10</v>
      </c>
      <c r="M14" s="16">
        <v>48980</v>
      </c>
      <c r="N14" s="16">
        <v>597556</v>
      </c>
      <c r="O14" s="15">
        <v>107756</v>
      </c>
    </row>
    <row r="15" spans="1:15" x14ac:dyDescent="0.3">
      <c r="A15" s="2" t="s">
        <v>23</v>
      </c>
      <c r="B15" s="1" t="s">
        <v>523</v>
      </c>
      <c r="C15" s="6" t="str">
        <f t="shared" si="0"/>
        <v>June</v>
      </c>
      <c r="D15" s="1" t="s">
        <v>788</v>
      </c>
      <c r="E15" s="1" t="s">
        <v>791</v>
      </c>
      <c r="F15" s="1" t="s">
        <v>795</v>
      </c>
      <c r="G15" s="1" t="s">
        <v>798</v>
      </c>
      <c r="H15" s="1" t="s">
        <v>805</v>
      </c>
      <c r="I15" s="10" t="s">
        <v>811</v>
      </c>
      <c r="J15" s="1" t="s">
        <v>817</v>
      </c>
      <c r="K15" s="24">
        <v>66</v>
      </c>
      <c r="L15" s="25">
        <v>7</v>
      </c>
      <c r="M15" s="16">
        <v>2808</v>
      </c>
      <c r="N15" s="16">
        <v>23390.639999999999</v>
      </c>
      <c r="O15" s="15">
        <v>3734.6399999999994</v>
      </c>
    </row>
    <row r="16" spans="1:15" x14ac:dyDescent="0.3">
      <c r="A16" s="2" t="s">
        <v>24</v>
      </c>
      <c r="B16" s="1" t="s">
        <v>524</v>
      </c>
      <c r="C16" s="6" t="str">
        <f t="shared" si="0"/>
        <v>January</v>
      </c>
      <c r="D16" s="1" t="s">
        <v>788</v>
      </c>
      <c r="E16" s="1" t="s">
        <v>792</v>
      </c>
      <c r="F16" s="1" t="s">
        <v>796</v>
      </c>
      <c r="G16" s="1" t="s">
        <v>799</v>
      </c>
      <c r="H16" s="1" t="s">
        <v>804</v>
      </c>
      <c r="I16" s="10" t="s">
        <v>812</v>
      </c>
      <c r="J16" s="1" t="s">
        <v>816</v>
      </c>
      <c r="K16" s="24">
        <v>21</v>
      </c>
      <c r="L16" s="25">
        <v>8</v>
      </c>
      <c r="M16" s="16">
        <v>33580</v>
      </c>
      <c r="N16" s="16">
        <v>327740.79999999999</v>
      </c>
      <c r="O16" s="15">
        <v>59100.799999999988</v>
      </c>
    </row>
    <row r="17" spans="1:15" x14ac:dyDescent="0.3">
      <c r="A17" s="2" t="s">
        <v>25</v>
      </c>
      <c r="B17" s="1" t="s">
        <v>525</v>
      </c>
      <c r="C17" s="6" t="str">
        <f t="shared" si="0"/>
        <v>May</v>
      </c>
      <c r="D17" s="1" t="s">
        <v>788</v>
      </c>
      <c r="E17" s="1" t="s">
        <v>793</v>
      </c>
      <c r="F17" s="1" t="s">
        <v>795</v>
      </c>
      <c r="G17" s="1" t="s">
        <v>803</v>
      </c>
      <c r="H17" s="1" t="s">
        <v>807</v>
      </c>
      <c r="I17" s="10" t="s">
        <v>811</v>
      </c>
      <c r="J17" s="1" t="s">
        <v>816</v>
      </c>
      <c r="K17" s="24">
        <v>45</v>
      </c>
      <c r="L17" s="25">
        <v>5</v>
      </c>
      <c r="M17" s="16">
        <v>31580</v>
      </c>
      <c r="N17" s="16">
        <v>187901</v>
      </c>
      <c r="O17" s="15">
        <v>30001</v>
      </c>
    </row>
    <row r="18" spans="1:15" x14ac:dyDescent="0.3">
      <c r="A18" s="2" t="s">
        <v>26</v>
      </c>
      <c r="B18" s="1" t="s">
        <v>526</v>
      </c>
      <c r="C18" s="6" t="str">
        <f t="shared" si="0"/>
        <v>July</v>
      </c>
      <c r="D18" s="1" t="s">
        <v>787</v>
      </c>
      <c r="E18" s="1" t="s">
        <v>790</v>
      </c>
      <c r="F18" s="1" t="s">
        <v>796</v>
      </c>
      <c r="G18" s="1" t="s">
        <v>802</v>
      </c>
      <c r="H18" s="1" t="s">
        <v>809</v>
      </c>
      <c r="I18" s="10" t="s">
        <v>814</v>
      </c>
      <c r="J18" s="1" t="s">
        <v>817</v>
      </c>
      <c r="K18" s="24">
        <v>88</v>
      </c>
      <c r="L18" s="25">
        <v>9</v>
      </c>
      <c r="M18" s="16">
        <v>33800</v>
      </c>
      <c r="N18" s="16">
        <v>371124</v>
      </c>
      <c r="O18" s="15">
        <v>66924</v>
      </c>
    </row>
    <row r="19" spans="1:15" x14ac:dyDescent="0.3">
      <c r="A19" s="2" t="s">
        <v>27</v>
      </c>
      <c r="B19" s="1" t="s">
        <v>527</v>
      </c>
      <c r="C19" s="6" t="str">
        <f t="shared" si="0"/>
        <v>February</v>
      </c>
      <c r="D19" s="1" t="s">
        <v>787</v>
      </c>
      <c r="E19" s="1" t="s">
        <v>792</v>
      </c>
      <c r="F19" s="1" t="s">
        <v>795</v>
      </c>
      <c r="G19" s="1" t="s">
        <v>803</v>
      </c>
      <c r="H19" s="1" t="s">
        <v>807</v>
      </c>
      <c r="I19" s="10" t="s">
        <v>811</v>
      </c>
      <c r="J19" s="1" t="s">
        <v>816</v>
      </c>
      <c r="K19" s="24">
        <v>92</v>
      </c>
      <c r="L19" s="25">
        <v>6</v>
      </c>
      <c r="M19" s="16">
        <v>34150</v>
      </c>
      <c r="N19" s="16">
        <v>243831</v>
      </c>
      <c r="O19" s="15">
        <v>38931</v>
      </c>
    </row>
    <row r="20" spans="1:15" x14ac:dyDescent="0.3">
      <c r="A20" s="2" t="s">
        <v>28</v>
      </c>
      <c r="B20" s="1" t="s">
        <v>528</v>
      </c>
      <c r="C20" s="6" t="str">
        <f t="shared" si="0"/>
        <v>January</v>
      </c>
      <c r="D20" s="1" t="s">
        <v>788</v>
      </c>
      <c r="E20" s="1" t="s">
        <v>792</v>
      </c>
      <c r="F20" s="1" t="s">
        <v>794</v>
      </c>
      <c r="G20" s="1" t="s">
        <v>797</v>
      </c>
      <c r="H20" s="1" t="s">
        <v>808</v>
      </c>
      <c r="I20" s="10" t="s">
        <v>813</v>
      </c>
      <c r="J20" s="1" t="s">
        <v>816</v>
      </c>
      <c r="K20" s="24">
        <v>26</v>
      </c>
      <c r="L20" s="25">
        <v>4</v>
      </c>
      <c r="M20" s="16">
        <v>4572</v>
      </c>
      <c r="N20" s="16">
        <v>21031.200000000001</v>
      </c>
      <c r="O20" s="15">
        <v>2743.2000000000007</v>
      </c>
    </row>
    <row r="21" spans="1:15" x14ac:dyDescent="0.3">
      <c r="A21" s="2" t="s">
        <v>29</v>
      </c>
      <c r="B21" s="1" t="s">
        <v>529</v>
      </c>
      <c r="C21" s="6" t="str">
        <f t="shared" si="0"/>
        <v>February</v>
      </c>
      <c r="D21" s="1" t="s">
        <v>787</v>
      </c>
      <c r="E21" s="1" t="s">
        <v>791</v>
      </c>
      <c r="F21" s="1" t="s">
        <v>796</v>
      </c>
      <c r="G21" s="1" t="s">
        <v>802</v>
      </c>
      <c r="H21" s="1" t="s">
        <v>809</v>
      </c>
      <c r="I21" s="10" t="s">
        <v>814</v>
      </c>
      <c r="J21" s="1" t="s">
        <v>820</v>
      </c>
      <c r="K21" s="24">
        <v>47</v>
      </c>
      <c r="L21" s="25">
        <v>14</v>
      </c>
      <c r="M21" s="16">
        <v>46400</v>
      </c>
      <c r="N21" s="16">
        <v>792512</v>
      </c>
      <c r="O21" s="15">
        <v>142912</v>
      </c>
    </row>
    <row r="22" spans="1:15" x14ac:dyDescent="0.3">
      <c r="A22" s="2" t="s">
        <v>30</v>
      </c>
      <c r="B22" s="1" t="s">
        <v>530</v>
      </c>
      <c r="C22" s="6" t="str">
        <f t="shared" si="0"/>
        <v>November</v>
      </c>
      <c r="D22" s="1" t="s">
        <v>786</v>
      </c>
      <c r="E22" s="1" t="s">
        <v>792</v>
      </c>
      <c r="F22" s="1" t="s">
        <v>796</v>
      </c>
      <c r="G22" s="1" t="s">
        <v>802</v>
      </c>
      <c r="H22" s="1" t="s">
        <v>809</v>
      </c>
      <c r="I22" s="10" t="s">
        <v>814</v>
      </c>
      <c r="J22" s="1" t="s">
        <v>820</v>
      </c>
      <c r="K22" s="24">
        <v>55</v>
      </c>
      <c r="L22" s="25">
        <v>14</v>
      </c>
      <c r="M22" s="16">
        <v>47900</v>
      </c>
      <c r="N22" s="16">
        <v>818132</v>
      </c>
      <c r="O22" s="15">
        <v>147532</v>
      </c>
    </row>
    <row r="23" spans="1:15" x14ac:dyDescent="0.3">
      <c r="A23" s="2" t="s">
        <v>31</v>
      </c>
      <c r="B23" s="1" t="s">
        <v>531</v>
      </c>
      <c r="C23" s="6" t="str">
        <f t="shared" si="0"/>
        <v>May</v>
      </c>
      <c r="D23" s="1" t="s">
        <v>788</v>
      </c>
      <c r="E23" s="1" t="s">
        <v>791</v>
      </c>
      <c r="F23" s="1" t="s">
        <v>796</v>
      </c>
      <c r="G23" s="1" t="s">
        <v>802</v>
      </c>
      <c r="H23" s="1" t="s">
        <v>809</v>
      </c>
      <c r="I23" s="10" t="s">
        <v>814</v>
      </c>
      <c r="J23" s="1" t="s">
        <v>820</v>
      </c>
      <c r="K23" s="24">
        <v>31</v>
      </c>
      <c r="L23" s="25">
        <v>15</v>
      </c>
      <c r="M23" s="16">
        <v>89000</v>
      </c>
      <c r="N23" s="16">
        <v>1628700</v>
      </c>
      <c r="O23" s="15">
        <v>293700</v>
      </c>
    </row>
    <row r="24" spans="1:15" x14ac:dyDescent="0.3">
      <c r="A24" s="2" t="s">
        <v>32</v>
      </c>
      <c r="B24" s="1" t="s">
        <v>532</v>
      </c>
      <c r="C24" s="6" t="str">
        <f t="shared" si="0"/>
        <v>June</v>
      </c>
      <c r="D24" s="1" t="s">
        <v>789</v>
      </c>
      <c r="E24" s="1" t="s">
        <v>793</v>
      </c>
      <c r="F24" s="1" t="s">
        <v>796</v>
      </c>
      <c r="G24" s="1" t="s">
        <v>799</v>
      </c>
      <c r="H24" s="1" t="s">
        <v>804</v>
      </c>
      <c r="I24" s="10" t="s">
        <v>814</v>
      </c>
      <c r="J24" s="1" t="s">
        <v>819</v>
      </c>
      <c r="K24" s="24">
        <v>56</v>
      </c>
      <c r="L24" s="25">
        <v>15</v>
      </c>
      <c r="M24" s="16">
        <v>78900</v>
      </c>
      <c r="N24" s="16">
        <v>1443870</v>
      </c>
      <c r="O24" s="15">
        <v>260370</v>
      </c>
    </row>
    <row r="25" spans="1:15" x14ac:dyDescent="0.3">
      <c r="A25" s="2" t="s">
        <v>33</v>
      </c>
      <c r="B25" s="1" t="s">
        <v>533</v>
      </c>
      <c r="C25" s="6" t="str">
        <f t="shared" si="0"/>
        <v>January</v>
      </c>
      <c r="D25" s="1" t="s">
        <v>786</v>
      </c>
      <c r="E25" s="1" t="s">
        <v>792</v>
      </c>
      <c r="F25" s="1" t="s">
        <v>795</v>
      </c>
      <c r="G25" s="1" t="s">
        <v>798</v>
      </c>
      <c r="H25" s="1" t="s">
        <v>805</v>
      </c>
      <c r="I25" s="10" t="s">
        <v>811</v>
      </c>
      <c r="J25" s="1" t="s">
        <v>818</v>
      </c>
      <c r="K25" s="24">
        <v>46</v>
      </c>
      <c r="L25" s="25">
        <v>18</v>
      </c>
      <c r="M25" s="16">
        <v>4344</v>
      </c>
      <c r="N25" s="16">
        <v>93048.48</v>
      </c>
      <c r="O25" s="15">
        <v>14856.479999999996</v>
      </c>
    </row>
    <row r="26" spans="1:15" x14ac:dyDescent="0.3">
      <c r="A26" s="2" t="s">
        <v>34</v>
      </c>
      <c r="B26" s="1" t="s">
        <v>534</v>
      </c>
      <c r="C26" s="6" t="str">
        <f t="shared" si="0"/>
        <v>June</v>
      </c>
      <c r="D26" s="1" t="s">
        <v>789</v>
      </c>
      <c r="E26" s="1" t="s">
        <v>792</v>
      </c>
      <c r="F26" s="1" t="s">
        <v>794</v>
      </c>
      <c r="G26" s="1" t="s">
        <v>797</v>
      </c>
      <c r="H26" s="1" t="s">
        <v>808</v>
      </c>
      <c r="I26" s="10" t="s">
        <v>813</v>
      </c>
      <c r="J26" s="1" t="s">
        <v>820</v>
      </c>
      <c r="K26" s="24">
        <v>35</v>
      </c>
      <c r="L26" s="25">
        <v>18</v>
      </c>
      <c r="M26" s="16">
        <v>1400</v>
      </c>
      <c r="N26" s="16">
        <v>28980</v>
      </c>
      <c r="O26" s="15">
        <v>3780</v>
      </c>
    </row>
    <row r="27" spans="1:15" x14ac:dyDescent="0.3">
      <c r="A27" s="2" t="s">
        <v>35</v>
      </c>
      <c r="B27" s="1" t="s">
        <v>535</v>
      </c>
      <c r="C27" s="6" t="str">
        <f t="shared" si="0"/>
        <v>July</v>
      </c>
      <c r="D27" s="1" t="s">
        <v>789</v>
      </c>
      <c r="E27" s="1" t="s">
        <v>790</v>
      </c>
      <c r="F27" s="1" t="s">
        <v>795</v>
      </c>
      <c r="G27" s="1" t="s">
        <v>803</v>
      </c>
      <c r="H27" s="1" t="s">
        <v>807</v>
      </c>
      <c r="I27" s="10" t="s">
        <v>811</v>
      </c>
      <c r="J27" s="1" t="s">
        <v>816</v>
      </c>
      <c r="K27" s="24">
        <v>82</v>
      </c>
      <c r="L27" s="25">
        <v>5</v>
      </c>
      <c r="M27" s="16">
        <v>34840</v>
      </c>
      <c r="N27" s="16">
        <v>207298</v>
      </c>
      <c r="O27" s="15">
        <v>33098</v>
      </c>
    </row>
    <row r="28" spans="1:15" x14ac:dyDescent="0.3">
      <c r="A28" s="2" t="s">
        <v>36</v>
      </c>
      <c r="B28" s="1" t="s">
        <v>536</v>
      </c>
      <c r="C28" s="6" t="str">
        <f t="shared" si="0"/>
        <v>July</v>
      </c>
      <c r="D28" s="1" t="s">
        <v>788</v>
      </c>
      <c r="E28" s="1" t="s">
        <v>792</v>
      </c>
      <c r="F28" s="1" t="s">
        <v>796</v>
      </c>
      <c r="G28" s="1" t="s">
        <v>799</v>
      </c>
      <c r="H28" s="1" t="s">
        <v>804</v>
      </c>
      <c r="I28" s="10" t="s">
        <v>814</v>
      </c>
      <c r="J28" s="1" t="s">
        <v>816</v>
      </c>
      <c r="K28" s="24">
        <v>35</v>
      </c>
      <c r="L28" s="25">
        <v>13</v>
      </c>
      <c r="M28" s="16">
        <v>98700</v>
      </c>
      <c r="N28" s="16">
        <v>1565382</v>
      </c>
      <c r="O28" s="15">
        <v>282282</v>
      </c>
    </row>
    <row r="29" spans="1:15" x14ac:dyDescent="0.3">
      <c r="A29" s="2" t="s">
        <v>37</v>
      </c>
      <c r="B29" s="1" t="s">
        <v>537</v>
      </c>
      <c r="C29" s="6" t="str">
        <f t="shared" si="0"/>
        <v>July</v>
      </c>
      <c r="D29" s="1" t="s">
        <v>786</v>
      </c>
      <c r="E29" s="1" t="s">
        <v>791</v>
      </c>
      <c r="F29" s="1" t="s">
        <v>795</v>
      </c>
      <c r="G29" s="1" t="s">
        <v>803</v>
      </c>
      <c r="H29" s="1" t="s">
        <v>807</v>
      </c>
      <c r="I29" s="10" t="s">
        <v>811</v>
      </c>
      <c r="J29" s="1" t="s">
        <v>818</v>
      </c>
      <c r="K29" s="24">
        <v>30</v>
      </c>
      <c r="L29" s="25">
        <v>12</v>
      </c>
      <c r="M29" s="16">
        <v>34690</v>
      </c>
      <c r="N29" s="16">
        <v>495373.2</v>
      </c>
      <c r="O29" s="15">
        <v>79093.200000000012</v>
      </c>
    </row>
    <row r="30" spans="1:15" x14ac:dyDescent="0.3">
      <c r="A30" s="2" t="s">
        <v>38</v>
      </c>
      <c r="B30" s="1" t="s">
        <v>538</v>
      </c>
      <c r="C30" s="6" t="str">
        <f t="shared" si="0"/>
        <v>March</v>
      </c>
      <c r="D30" s="1" t="s">
        <v>785</v>
      </c>
      <c r="E30" s="1" t="s">
        <v>793</v>
      </c>
      <c r="F30" s="1" t="s">
        <v>795</v>
      </c>
      <c r="G30" s="1" t="s">
        <v>803</v>
      </c>
      <c r="H30" s="1" t="s">
        <v>807</v>
      </c>
      <c r="I30" s="10" t="s">
        <v>811</v>
      </c>
      <c r="J30" s="1" t="s">
        <v>816</v>
      </c>
      <c r="K30" s="24">
        <v>69</v>
      </c>
      <c r="L30" s="25">
        <v>18</v>
      </c>
      <c r="M30" s="16">
        <v>30400</v>
      </c>
      <c r="N30" s="16">
        <v>651168</v>
      </c>
      <c r="O30" s="15">
        <v>103968</v>
      </c>
    </row>
    <row r="31" spans="1:15" x14ac:dyDescent="0.3">
      <c r="A31" s="2" t="s">
        <v>39</v>
      </c>
      <c r="B31" s="1" t="s">
        <v>539</v>
      </c>
      <c r="C31" s="6" t="str">
        <f t="shared" si="0"/>
        <v>November</v>
      </c>
      <c r="D31" s="1" t="s">
        <v>784</v>
      </c>
      <c r="E31" s="1" t="s">
        <v>792</v>
      </c>
      <c r="F31" s="1" t="s">
        <v>795</v>
      </c>
      <c r="G31" s="1" t="s">
        <v>798</v>
      </c>
      <c r="H31" s="1" t="s">
        <v>805</v>
      </c>
      <c r="I31" s="10" t="s">
        <v>811</v>
      </c>
      <c r="J31" s="1" t="s">
        <v>819</v>
      </c>
      <c r="K31" s="24">
        <v>60</v>
      </c>
      <c r="L31" s="25">
        <v>13</v>
      </c>
      <c r="M31" s="16">
        <v>2755</v>
      </c>
      <c r="N31" s="16">
        <v>42619.85</v>
      </c>
      <c r="O31" s="15">
        <v>6804.8499999999985</v>
      </c>
    </row>
    <row r="32" spans="1:15" x14ac:dyDescent="0.3">
      <c r="A32" s="2" t="s">
        <v>40</v>
      </c>
      <c r="B32" s="1" t="s">
        <v>540</v>
      </c>
      <c r="C32" s="6" t="str">
        <f t="shared" si="0"/>
        <v>March</v>
      </c>
      <c r="D32" s="1" t="s">
        <v>788</v>
      </c>
      <c r="E32" s="1" t="s">
        <v>791</v>
      </c>
      <c r="F32" s="1" t="s">
        <v>796</v>
      </c>
      <c r="G32" s="1" t="s">
        <v>802</v>
      </c>
      <c r="H32" s="1" t="s">
        <v>809</v>
      </c>
      <c r="I32" s="10" t="s">
        <v>812</v>
      </c>
      <c r="J32" s="1" t="s">
        <v>818</v>
      </c>
      <c r="K32" s="24">
        <v>34</v>
      </c>
      <c r="L32" s="25">
        <v>12</v>
      </c>
      <c r="M32" s="16">
        <v>44790</v>
      </c>
      <c r="N32" s="16">
        <v>655725.6</v>
      </c>
      <c r="O32" s="15">
        <v>118245.59999999998</v>
      </c>
    </row>
    <row r="33" spans="1:15" x14ac:dyDescent="0.3">
      <c r="A33" s="2" t="s">
        <v>41</v>
      </c>
      <c r="B33" s="1" t="s">
        <v>541</v>
      </c>
      <c r="C33" s="6" t="str">
        <f t="shared" si="0"/>
        <v>September</v>
      </c>
      <c r="D33" s="1" t="s">
        <v>788</v>
      </c>
      <c r="E33" s="1" t="s">
        <v>791</v>
      </c>
      <c r="F33" s="1" t="s">
        <v>796</v>
      </c>
      <c r="G33" s="1" t="s">
        <v>799</v>
      </c>
      <c r="H33" s="1" t="s">
        <v>804</v>
      </c>
      <c r="I33" s="10" t="s">
        <v>814</v>
      </c>
      <c r="J33" s="1" t="s">
        <v>820</v>
      </c>
      <c r="K33" s="24">
        <v>21</v>
      </c>
      <c r="L33" s="25">
        <v>6</v>
      </c>
      <c r="M33" s="16">
        <v>38430</v>
      </c>
      <c r="N33" s="16">
        <v>281307.59999999998</v>
      </c>
      <c r="O33" s="15">
        <v>50727.599999999977</v>
      </c>
    </row>
    <row r="34" spans="1:15" x14ac:dyDescent="0.3">
      <c r="A34" s="2" t="s">
        <v>42</v>
      </c>
      <c r="B34" s="1" t="s">
        <v>542</v>
      </c>
      <c r="C34" s="6" t="str">
        <f t="shared" si="0"/>
        <v>December</v>
      </c>
      <c r="D34" s="1" t="s">
        <v>786</v>
      </c>
      <c r="E34" s="1" t="s">
        <v>791</v>
      </c>
      <c r="F34" s="1" t="s">
        <v>795</v>
      </c>
      <c r="G34" s="1" t="s">
        <v>798</v>
      </c>
      <c r="H34" s="1" t="s">
        <v>805</v>
      </c>
      <c r="I34" s="10" t="s">
        <v>811</v>
      </c>
      <c r="J34" s="1" t="s">
        <v>816</v>
      </c>
      <c r="K34" s="24">
        <v>40</v>
      </c>
      <c r="L34" s="25">
        <v>15</v>
      </c>
      <c r="M34" s="16">
        <v>3827</v>
      </c>
      <c r="N34" s="16">
        <v>68311.95</v>
      </c>
      <c r="O34" s="15">
        <v>10906.949999999997</v>
      </c>
    </row>
    <row r="35" spans="1:15" x14ac:dyDescent="0.3">
      <c r="A35" s="2" t="s">
        <v>43</v>
      </c>
      <c r="B35" s="1" t="s">
        <v>543</v>
      </c>
      <c r="C35" s="6" t="str">
        <f t="shared" si="0"/>
        <v>March</v>
      </c>
      <c r="D35" s="1" t="s">
        <v>789</v>
      </c>
      <c r="E35" s="1" t="s">
        <v>790</v>
      </c>
      <c r="F35" s="1" t="s">
        <v>796</v>
      </c>
      <c r="G35" s="1" t="s">
        <v>799</v>
      </c>
      <c r="H35" s="1" t="s">
        <v>804</v>
      </c>
      <c r="I35" s="10" t="s">
        <v>814</v>
      </c>
      <c r="J35" s="1" t="s">
        <v>819</v>
      </c>
      <c r="K35" s="24">
        <v>100</v>
      </c>
      <c r="L35" s="25">
        <v>14</v>
      </c>
      <c r="M35" s="16">
        <v>258900</v>
      </c>
      <c r="N35" s="16">
        <v>4422012</v>
      </c>
      <c r="O35" s="15">
        <v>797412</v>
      </c>
    </row>
    <row r="36" spans="1:15" x14ac:dyDescent="0.3">
      <c r="A36" s="2" t="s">
        <v>44</v>
      </c>
      <c r="B36" s="1" t="s">
        <v>544</v>
      </c>
      <c r="C36" s="6" t="str">
        <f t="shared" si="0"/>
        <v>November</v>
      </c>
      <c r="D36" s="1" t="s">
        <v>787</v>
      </c>
      <c r="E36" s="1" t="s">
        <v>793</v>
      </c>
      <c r="F36" s="1" t="s">
        <v>796</v>
      </c>
      <c r="G36" s="1" t="s">
        <v>800</v>
      </c>
      <c r="H36" s="1" t="s">
        <v>810</v>
      </c>
      <c r="I36" s="10" t="s">
        <v>814</v>
      </c>
      <c r="J36" s="1" t="s">
        <v>818</v>
      </c>
      <c r="K36" s="24">
        <v>55</v>
      </c>
      <c r="L36" s="25">
        <v>1</v>
      </c>
      <c r="M36" s="16">
        <v>417600</v>
      </c>
      <c r="N36" s="16">
        <v>509472</v>
      </c>
      <c r="O36" s="15">
        <v>91872</v>
      </c>
    </row>
    <row r="37" spans="1:15" x14ac:dyDescent="0.3">
      <c r="A37" s="2" t="s">
        <v>45</v>
      </c>
      <c r="B37" s="1" t="s">
        <v>545</v>
      </c>
      <c r="C37" s="6" t="str">
        <f t="shared" si="0"/>
        <v>September</v>
      </c>
      <c r="D37" s="1" t="s">
        <v>784</v>
      </c>
      <c r="E37" s="1" t="s">
        <v>791</v>
      </c>
      <c r="F37" s="1" t="s">
        <v>796</v>
      </c>
      <c r="G37" s="1" t="s">
        <v>802</v>
      </c>
      <c r="H37" s="1" t="s">
        <v>809</v>
      </c>
      <c r="I37" s="10" t="s">
        <v>812</v>
      </c>
      <c r="J37" s="1" t="s">
        <v>820</v>
      </c>
      <c r="K37" s="24">
        <v>59</v>
      </c>
      <c r="L37" s="25">
        <v>19</v>
      </c>
      <c r="M37" s="16">
        <v>175200</v>
      </c>
      <c r="N37" s="16">
        <v>4061136</v>
      </c>
      <c r="O37" s="15">
        <v>732336</v>
      </c>
    </row>
    <row r="38" spans="1:15" x14ac:dyDescent="0.3">
      <c r="A38" s="2" t="s">
        <v>46</v>
      </c>
      <c r="B38" s="1" t="s">
        <v>546</v>
      </c>
      <c r="C38" s="6" t="str">
        <f t="shared" si="0"/>
        <v>January</v>
      </c>
      <c r="D38" s="1" t="s">
        <v>784</v>
      </c>
      <c r="E38" s="1" t="s">
        <v>790</v>
      </c>
      <c r="F38" s="1" t="s">
        <v>796</v>
      </c>
      <c r="G38" s="1" t="s">
        <v>799</v>
      </c>
      <c r="H38" s="1" t="s">
        <v>804</v>
      </c>
      <c r="I38" s="10" t="s">
        <v>812</v>
      </c>
      <c r="J38" s="1" t="s">
        <v>816</v>
      </c>
      <c r="K38" s="24">
        <v>98</v>
      </c>
      <c r="L38" s="25">
        <v>16</v>
      </c>
      <c r="M38" s="16">
        <v>45860</v>
      </c>
      <c r="N38" s="16">
        <v>895187.2</v>
      </c>
      <c r="O38" s="15">
        <v>161427.19999999995</v>
      </c>
    </row>
    <row r="39" spans="1:15" x14ac:dyDescent="0.3">
      <c r="A39" s="2" t="s">
        <v>47</v>
      </c>
      <c r="B39" s="1" t="s">
        <v>547</v>
      </c>
      <c r="C39" s="6" t="str">
        <f t="shared" si="0"/>
        <v>September</v>
      </c>
      <c r="D39" s="1" t="s">
        <v>784</v>
      </c>
      <c r="E39" s="1" t="s">
        <v>790</v>
      </c>
      <c r="F39" s="1" t="s">
        <v>794</v>
      </c>
      <c r="G39" s="1" t="s">
        <v>801</v>
      </c>
      <c r="H39" s="1" t="s">
        <v>806</v>
      </c>
      <c r="I39" s="10" t="s">
        <v>813</v>
      </c>
      <c r="J39" s="1" t="s">
        <v>819</v>
      </c>
      <c r="K39" s="24">
        <v>34</v>
      </c>
      <c r="L39" s="25">
        <v>1</v>
      </c>
      <c r="M39" s="16">
        <v>1170</v>
      </c>
      <c r="N39" s="16">
        <v>1345.5</v>
      </c>
      <c r="O39" s="15">
        <v>175.5</v>
      </c>
    </row>
    <row r="40" spans="1:15" x14ac:dyDescent="0.3">
      <c r="A40" s="2" t="s">
        <v>48</v>
      </c>
      <c r="B40" s="1" t="s">
        <v>548</v>
      </c>
      <c r="C40" s="6" t="str">
        <f t="shared" si="0"/>
        <v>November</v>
      </c>
      <c r="D40" s="1" t="s">
        <v>785</v>
      </c>
      <c r="E40" s="1" t="s">
        <v>792</v>
      </c>
      <c r="F40" s="1" t="s">
        <v>795</v>
      </c>
      <c r="G40" s="1" t="s">
        <v>798</v>
      </c>
      <c r="H40" s="1" t="s">
        <v>805</v>
      </c>
      <c r="I40" s="10" t="s">
        <v>811</v>
      </c>
      <c r="J40" s="1" t="s">
        <v>816</v>
      </c>
      <c r="K40" s="24">
        <v>18</v>
      </c>
      <c r="L40" s="25">
        <v>16</v>
      </c>
      <c r="M40" s="16">
        <v>3433</v>
      </c>
      <c r="N40" s="16">
        <v>65364.32</v>
      </c>
      <c r="O40" s="15">
        <v>10436.32</v>
      </c>
    </row>
    <row r="41" spans="1:15" x14ac:dyDescent="0.3">
      <c r="A41" s="2" t="s">
        <v>49</v>
      </c>
      <c r="B41" s="1" t="s">
        <v>549</v>
      </c>
      <c r="C41" s="6" t="str">
        <f t="shared" si="0"/>
        <v>May</v>
      </c>
      <c r="D41" s="1" t="s">
        <v>787</v>
      </c>
      <c r="E41" s="1" t="s">
        <v>793</v>
      </c>
      <c r="F41" s="1" t="s">
        <v>794</v>
      </c>
      <c r="G41" s="1" t="s">
        <v>797</v>
      </c>
      <c r="H41" s="1" t="s">
        <v>808</v>
      </c>
      <c r="I41" s="10" t="s">
        <v>813</v>
      </c>
      <c r="J41" s="1" t="s">
        <v>817</v>
      </c>
      <c r="K41" s="24">
        <v>40</v>
      </c>
      <c r="L41" s="25">
        <v>18</v>
      </c>
      <c r="M41" s="16">
        <v>1300</v>
      </c>
      <c r="N41" s="16">
        <v>26910</v>
      </c>
      <c r="O41" s="15">
        <v>3510</v>
      </c>
    </row>
    <row r="42" spans="1:15" x14ac:dyDescent="0.3">
      <c r="A42" s="2" t="s">
        <v>50</v>
      </c>
      <c r="B42" s="1" t="s">
        <v>550</v>
      </c>
      <c r="C42" s="6" t="str">
        <f t="shared" si="0"/>
        <v>November</v>
      </c>
      <c r="D42" s="1" t="s">
        <v>787</v>
      </c>
      <c r="E42" s="1" t="s">
        <v>793</v>
      </c>
      <c r="F42" s="1" t="s">
        <v>796</v>
      </c>
      <c r="G42" s="1" t="s">
        <v>799</v>
      </c>
      <c r="H42" s="1" t="s">
        <v>804</v>
      </c>
      <c r="I42" s="10" t="s">
        <v>814</v>
      </c>
      <c r="J42" s="1" t="s">
        <v>816</v>
      </c>
      <c r="K42" s="24">
        <v>5</v>
      </c>
      <c r="L42" s="25">
        <v>15</v>
      </c>
      <c r="M42" s="16">
        <v>29150</v>
      </c>
      <c r="N42" s="16">
        <v>533445</v>
      </c>
      <c r="O42" s="15">
        <v>96195</v>
      </c>
    </row>
    <row r="43" spans="1:15" x14ac:dyDescent="0.3">
      <c r="A43" s="2" t="s">
        <v>51</v>
      </c>
      <c r="B43" s="1" t="s">
        <v>551</v>
      </c>
      <c r="C43" s="6" t="str">
        <f t="shared" si="0"/>
        <v>April</v>
      </c>
      <c r="D43" s="1" t="s">
        <v>787</v>
      </c>
      <c r="E43" s="1" t="s">
        <v>793</v>
      </c>
      <c r="F43" s="1" t="s">
        <v>796</v>
      </c>
      <c r="G43" s="1" t="s">
        <v>800</v>
      </c>
      <c r="H43" s="1" t="s">
        <v>810</v>
      </c>
      <c r="I43" s="10" t="s">
        <v>814</v>
      </c>
      <c r="J43" s="1" t="s">
        <v>817</v>
      </c>
      <c r="K43" s="24">
        <v>62</v>
      </c>
      <c r="L43" s="25">
        <v>2</v>
      </c>
      <c r="M43" s="16">
        <v>451000</v>
      </c>
      <c r="N43" s="16">
        <v>1100440</v>
      </c>
      <c r="O43" s="15">
        <v>198440</v>
      </c>
    </row>
    <row r="44" spans="1:15" x14ac:dyDescent="0.3">
      <c r="A44" s="2" t="s">
        <v>52</v>
      </c>
      <c r="B44" s="1" t="s">
        <v>552</v>
      </c>
      <c r="C44" s="6" t="str">
        <f t="shared" si="0"/>
        <v>October</v>
      </c>
      <c r="D44" s="1" t="s">
        <v>786</v>
      </c>
      <c r="E44" s="1" t="s">
        <v>791</v>
      </c>
      <c r="F44" s="1" t="s">
        <v>796</v>
      </c>
      <c r="G44" s="1" t="s">
        <v>799</v>
      </c>
      <c r="H44" s="1" t="s">
        <v>804</v>
      </c>
      <c r="I44" s="10" t="s">
        <v>814</v>
      </c>
      <c r="J44" s="1" t="s">
        <v>818</v>
      </c>
      <c r="K44" s="24">
        <v>66</v>
      </c>
      <c r="L44" s="25">
        <v>6</v>
      </c>
      <c r="M44" s="16">
        <v>358840</v>
      </c>
      <c r="N44" s="16">
        <v>2626708.7999999998</v>
      </c>
      <c r="O44" s="15">
        <v>473668.79999999981</v>
      </c>
    </row>
    <row r="45" spans="1:15" x14ac:dyDescent="0.3">
      <c r="A45" s="2" t="s">
        <v>53</v>
      </c>
      <c r="B45" s="1" t="s">
        <v>553</v>
      </c>
      <c r="C45" s="6" t="str">
        <f t="shared" si="0"/>
        <v>April</v>
      </c>
      <c r="D45" s="1" t="s">
        <v>786</v>
      </c>
      <c r="E45" s="1" t="s">
        <v>792</v>
      </c>
      <c r="F45" s="1" t="s">
        <v>795</v>
      </c>
      <c r="G45" s="1" t="s">
        <v>798</v>
      </c>
      <c r="H45" s="1" t="s">
        <v>805</v>
      </c>
      <c r="I45" s="10" t="s">
        <v>811</v>
      </c>
      <c r="J45" s="1" t="s">
        <v>816</v>
      </c>
      <c r="K45" s="24">
        <v>21</v>
      </c>
      <c r="L45" s="25">
        <v>11</v>
      </c>
      <c r="M45" s="16">
        <v>1105</v>
      </c>
      <c r="N45" s="16">
        <v>14464.45</v>
      </c>
      <c r="O45" s="15">
        <v>2309.4500000000007</v>
      </c>
    </row>
    <row r="46" spans="1:15" x14ac:dyDescent="0.3">
      <c r="A46" s="2" t="s">
        <v>54</v>
      </c>
      <c r="B46" s="1" t="s">
        <v>554</v>
      </c>
      <c r="C46" s="6" t="str">
        <f t="shared" si="0"/>
        <v>August</v>
      </c>
      <c r="D46" s="1" t="s">
        <v>786</v>
      </c>
      <c r="E46" s="1" t="s">
        <v>793</v>
      </c>
      <c r="F46" s="1" t="s">
        <v>795</v>
      </c>
      <c r="G46" s="1" t="s">
        <v>803</v>
      </c>
      <c r="H46" s="1" t="s">
        <v>807</v>
      </c>
      <c r="I46" s="10" t="s">
        <v>811</v>
      </c>
      <c r="J46" s="1" t="s">
        <v>817</v>
      </c>
      <c r="K46" s="24">
        <v>61</v>
      </c>
      <c r="L46" s="25">
        <v>19</v>
      </c>
      <c r="M46" s="16">
        <v>15720</v>
      </c>
      <c r="N46" s="16">
        <v>355429.2</v>
      </c>
      <c r="O46" s="15">
        <v>56749.200000000012</v>
      </c>
    </row>
    <row r="47" spans="1:15" x14ac:dyDescent="0.3">
      <c r="A47" s="2" t="s">
        <v>55</v>
      </c>
      <c r="B47" s="1" t="s">
        <v>555</v>
      </c>
      <c r="C47" s="6" t="str">
        <f t="shared" si="0"/>
        <v>July</v>
      </c>
      <c r="D47" s="1" t="s">
        <v>786</v>
      </c>
      <c r="E47" s="1" t="s">
        <v>793</v>
      </c>
      <c r="F47" s="1" t="s">
        <v>796</v>
      </c>
      <c r="G47" s="1" t="s">
        <v>802</v>
      </c>
      <c r="H47" s="1" t="s">
        <v>809</v>
      </c>
      <c r="I47" s="10" t="s">
        <v>814</v>
      </c>
      <c r="J47" s="1" t="s">
        <v>819</v>
      </c>
      <c r="K47" s="24">
        <v>99</v>
      </c>
      <c r="L47" s="25">
        <v>8</v>
      </c>
      <c r="M47" s="16">
        <v>201400</v>
      </c>
      <c r="N47" s="16">
        <v>1965664</v>
      </c>
      <c r="O47" s="15">
        <v>354464</v>
      </c>
    </row>
    <row r="48" spans="1:15" x14ac:dyDescent="0.3">
      <c r="A48" s="2" t="s">
        <v>56</v>
      </c>
      <c r="B48" s="1" t="s">
        <v>556</v>
      </c>
      <c r="C48" s="6" t="str">
        <f t="shared" si="0"/>
        <v>October</v>
      </c>
      <c r="D48" s="1" t="s">
        <v>785</v>
      </c>
      <c r="E48" s="1" t="s">
        <v>791</v>
      </c>
      <c r="F48" s="1" t="s">
        <v>795</v>
      </c>
      <c r="G48" s="1" t="s">
        <v>803</v>
      </c>
      <c r="H48" s="1" t="s">
        <v>807</v>
      </c>
      <c r="I48" s="10" t="s">
        <v>811</v>
      </c>
      <c r="J48" s="1" t="s">
        <v>819</v>
      </c>
      <c r="K48" s="24">
        <v>63</v>
      </c>
      <c r="L48" s="25">
        <v>4</v>
      </c>
      <c r="M48" s="16">
        <v>43580</v>
      </c>
      <c r="N48" s="16">
        <v>207440.8</v>
      </c>
      <c r="O48" s="15">
        <v>33120.799999999988</v>
      </c>
    </row>
    <row r="49" spans="1:15" x14ac:dyDescent="0.3">
      <c r="A49" s="2" t="s">
        <v>57</v>
      </c>
      <c r="B49" s="1" t="s">
        <v>557</v>
      </c>
      <c r="C49" s="6" t="str">
        <f t="shared" si="0"/>
        <v>August</v>
      </c>
      <c r="D49" s="1" t="s">
        <v>785</v>
      </c>
      <c r="E49" s="1" t="s">
        <v>791</v>
      </c>
      <c r="F49" s="1" t="s">
        <v>795</v>
      </c>
      <c r="G49" s="1" t="s">
        <v>803</v>
      </c>
      <c r="H49" s="1" t="s">
        <v>807</v>
      </c>
      <c r="I49" s="10" t="s">
        <v>811</v>
      </c>
      <c r="J49" s="1" t="s">
        <v>818</v>
      </c>
      <c r="K49" s="24">
        <v>82</v>
      </c>
      <c r="L49" s="25">
        <v>2</v>
      </c>
      <c r="M49" s="16">
        <v>17700</v>
      </c>
      <c r="N49" s="16">
        <v>42126</v>
      </c>
      <c r="O49" s="15">
        <v>6726</v>
      </c>
    </row>
    <row r="50" spans="1:15" x14ac:dyDescent="0.3">
      <c r="A50" s="2" t="s">
        <v>58</v>
      </c>
      <c r="B50" s="1" t="s">
        <v>558</v>
      </c>
      <c r="C50" s="6" t="str">
        <f t="shared" si="0"/>
        <v>December</v>
      </c>
      <c r="D50" s="1" t="s">
        <v>786</v>
      </c>
      <c r="E50" s="1" t="s">
        <v>790</v>
      </c>
      <c r="F50" s="1" t="s">
        <v>794</v>
      </c>
      <c r="G50" s="1" t="s">
        <v>801</v>
      </c>
      <c r="H50" s="1" t="s">
        <v>806</v>
      </c>
      <c r="I50" s="10" t="s">
        <v>813</v>
      </c>
      <c r="J50" s="1" t="s">
        <v>816</v>
      </c>
      <c r="K50" s="24">
        <v>75</v>
      </c>
      <c r="L50" s="25">
        <v>3</v>
      </c>
      <c r="M50" s="16">
        <v>919</v>
      </c>
      <c r="N50" s="16">
        <v>3170.55</v>
      </c>
      <c r="O50" s="15">
        <v>413.55000000000018</v>
      </c>
    </row>
    <row r="51" spans="1:15" x14ac:dyDescent="0.3">
      <c r="A51" s="2" t="s">
        <v>59</v>
      </c>
      <c r="B51" s="1" t="s">
        <v>559</v>
      </c>
      <c r="C51" s="6" t="str">
        <f t="shared" si="0"/>
        <v>May</v>
      </c>
      <c r="D51" s="1" t="s">
        <v>788</v>
      </c>
      <c r="E51" s="1" t="s">
        <v>790</v>
      </c>
      <c r="F51" s="1" t="s">
        <v>794</v>
      </c>
      <c r="G51" s="1" t="s">
        <v>797</v>
      </c>
      <c r="H51" s="1" t="s">
        <v>808</v>
      </c>
      <c r="I51" s="10" t="s">
        <v>813</v>
      </c>
      <c r="J51" s="1" t="s">
        <v>816</v>
      </c>
      <c r="K51" s="24">
        <v>63</v>
      </c>
      <c r="L51" s="25">
        <v>4</v>
      </c>
      <c r="M51" s="16">
        <v>3295</v>
      </c>
      <c r="N51" s="16">
        <v>15157</v>
      </c>
      <c r="O51" s="15">
        <v>1977</v>
      </c>
    </row>
    <row r="52" spans="1:15" x14ac:dyDescent="0.3">
      <c r="A52" s="2" t="s">
        <v>60</v>
      </c>
      <c r="B52" s="1" t="s">
        <v>560</v>
      </c>
      <c r="C52" s="6" t="str">
        <f t="shared" si="0"/>
        <v>November</v>
      </c>
      <c r="D52" s="1" t="s">
        <v>785</v>
      </c>
      <c r="E52" s="1" t="s">
        <v>790</v>
      </c>
      <c r="F52" s="1" t="s">
        <v>796</v>
      </c>
      <c r="G52" s="1" t="s">
        <v>799</v>
      </c>
      <c r="H52" s="1" t="s">
        <v>804</v>
      </c>
      <c r="I52" s="10" t="s">
        <v>814</v>
      </c>
      <c r="J52" s="1" t="s">
        <v>816</v>
      </c>
      <c r="K52" s="24">
        <v>8</v>
      </c>
      <c r="L52" s="25">
        <v>7</v>
      </c>
      <c r="M52" s="16">
        <v>100256</v>
      </c>
      <c r="N52" s="16">
        <v>856186.24</v>
      </c>
      <c r="O52" s="15">
        <v>154394.23999999999</v>
      </c>
    </row>
    <row r="53" spans="1:15" x14ac:dyDescent="0.3">
      <c r="A53" s="2" t="s">
        <v>61</v>
      </c>
      <c r="B53" s="1" t="s">
        <v>561</v>
      </c>
      <c r="C53" s="6" t="str">
        <f t="shared" si="0"/>
        <v>November</v>
      </c>
      <c r="D53" s="1" t="s">
        <v>787</v>
      </c>
      <c r="E53" s="1" t="s">
        <v>791</v>
      </c>
      <c r="F53" s="1" t="s">
        <v>795</v>
      </c>
      <c r="G53" s="1" t="s">
        <v>798</v>
      </c>
      <c r="H53" s="1" t="s">
        <v>805</v>
      </c>
      <c r="I53" s="10" t="s">
        <v>811</v>
      </c>
      <c r="J53" s="1" t="s">
        <v>820</v>
      </c>
      <c r="K53" s="24">
        <v>26</v>
      </c>
      <c r="L53" s="25">
        <v>1</v>
      </c>
      <c r="M53" s="16">
        <v>1515</v>
      </c>
      <c r="N53" s="16">
        <v>1802.85</v>
      </c>
      <c r="O53" s="15">
        <v>287.84999999999991</v>
      </c>
    </row>
    <row r="54" spans="1:15" x14ac:dyDescent="0.3">
      <c r="A54" s="2" t="s">
        <v>62</v>
      </c>
      <c r="B54" s="1" t="s">
        <v>562</v>
      </c>
      <c r="C54" s="6" t="str">
        <f t="shared" si="0"/>
        <v>February</v>
      </c>
      <c r="D54" s="1" t="s">
        <v>788</v>
      </c>
      <c r="E54" s="1" t="s">
        <v>793</v>
      </c>
      <c r="F54" s="1" t="s">
        <v>794</v>
      </c>
      <c r="G54" s="1" t="s">
        <v>801</v>
      </c>
      <c r="H54" s="1" t="s">
        <v>806</v>
      </c>
      <c r="I54" s="10" t="s">
        <v>815</v>
      </c>
      <c r="J54" s="1" t="s">
        <v>819</v>
      </c>
      <c r="K54" s="24">
        <v>92</v>
      </c>
      <c r="L54" s="25">
        <v>6</v>
      </c>
      <c r="M54" s="16">
        <v>3903</v>
      </c>
      <c r="N54" s="16">
        <v>26930.7</v>
      </c>
      <c r="O54" s="15">
        <v>3512.7000000000007</v>
      </c>
    </row>
    <row r="55" spans="1:15" x14ac:dyDescent="0.3">
      <c r="A55" s="2" t="s">
        <v>63</v>
      </c>
      <c r="B55" s="1" t="s">
        <v>563</v>
      </c>
      <c r="C55" s="6" t="str">
        <f t="shared" si="0"/>
        <v>May</v>
      </c>
      <c r="D55" s="1" t="s">
        <v>786</v>
      </c>
      <c r="E55" s="1" t="s">
        <v>792</v>
      </c>
      <c r="F55" s="1" t="s">
        <v>794</v>
      </c>
      <c r="G55" s="1" t="s">
        <v>801</v>
      </c>
      <c r="H55" s="1" t="s">
        <v>806</v>
      </c>
      <c r="I55" s="10" t="s">
        <v>813</v>
      </c>
      <c r="J55" s="1" t="s">
        <v>817</v>
      </c>
      <c r="K55" s="24">
        <v>11</v>
      </c>
      <c r="L55" s="25">
        <v>18</v>
      </c>
      <c r="M55" s="16">
        <v>2863</v>
      </c>
      <c r="N55" s="16">
        <v>59264.1</v>
      </c>
      <c r="O55" s="15">
        <v>7730.0999999999985</v>
      </c>
    </row>
    <row r="56" spans="1:15" x14ac:dyDescent="0.3">
      <c r="A56" s="2" t="s">
        <v>64</v>
      </c>
      <c r="B56" s="1" t="s">
        <v>564</v>
      </c>
      <c r="C56" s="6" t="str">
        <f t="shared" si="0"/>
        <v>October</v>
      </c>
      <c r="D56" s="1" t="s">
        <v>785</v>
      </c>
      <c r="E56" s="1" t="s">
        <v>793</v>
      </c>
      <c r="F56" s="1" t="s">
        <v>795</v>
      </c>
      <c r="G56" s="1" t="s">
        <v>803</v>
      </c>
      <c r="H56" s="1" t="s">
        <v>807</v>
      </c>
      <c r="I56" s="10" t="s">
        <v>811</v>
      </c>
      <c r="J56" s="1" t="s">
        <v>819</v>
      </c>
      <c r="K56" s="24">
        <v>89</v>
      </c>
      <c r="L56" s="25">
        <v>17</v>
      </c>
      <c r="M56" s="16">
        <v>11960</v>
      </c>
      <c r="N56" s="16">
        <v>241950.8</v>
      </c>
      <c r="O56" s="15">
        <v>38630.799999999988</v>
      </c>
    </row>
    <row r="57" spans="1:15" x14ac:dyDescent="0.3">
      <c r="A57" s="2" t="s">
        <v>65</v>
      </c>
      <c r="B57" s="1" t="s">
        <v>565</v>
      </c>
      <c r="C57" s="6" t="str">
        <f t="shared" si="0"/>
        <v>December</v>
      </c>
      <c r="D57" s="1" t="s">
        <v>789</v>
      </c>
      <c r="E57" s="1" t="s">
        <v>793</v>
      </c>
      <c r="F57" s="1" t="s">
        <v>794</v>
      </c>
      <c r="G57" s="1" t="s">
        <v>801</v>
      </c>
      <c r="H57" s="1" t="s">
        <v>806</v>
      </c>
      <c r="I57" s="10" t="s">
        <v>813</v>
      </c>
      <c r="J57" s="1" t="s">
        <v>819</v>
      </c>
      <c r="K57" s="24">
        <v>27</v>
      </c>
      <c r="L57" s="25">
        <v>12</v>
      </c>
      <c r="M57" s="16">
        <v>1268</v>
      </c>
      <c r="N57" s="16">
        <v>17498.400000000001</v>
      </c>
      <c r="O57" s="15">
        <v>2282.4000000000015</v>
      </c>
    </row>
    <row r="58" spans="1:15" x14ac:dyDescent="0.3">
      <c r="A58" s="2" t="s">
        <v>66</v>
      </c>
      <c r="B58" s="1" t="s">
        <v>566</v>
      </c>
      <c r="C58" s="6" t="str">
        <f t="shared" si="0"/>
        <v>December</v>
      </c>
      <c r="D58" s="1" t="s">
        <v>786</v>
      </c>
      <c r="E58" s="1" t="s">
        <v>792</v>
      </c>
      <c r="F58" s="1" t="s">
        <v>796</v>
      </c>
      <c r="G58" s="1" t="s">
        <v>800</v>
      </c>
      <c r="H58" s="1" t="s">
        <v>810</v>
      </c>
      <c r="I58" s="10" t="s">
        <v>814</v>
      </c>
      <c r="J58" s="1" t="s">
        <v>818</v>
      </c>
      <c r="K58" s="24">
        <v>60</v>
      </c>
      <c r="L58" s="25">
        <v>12</v>
      </c>
      <c r="M58" s="16">
        <v>156230</v>
      </c>
      <c r="N58" s="16">
        <v>2287207.2000000002</v>
      </c>
      <c r="O58" s="15">
        <v>412447.20000000019</v>
      </c>
    </row>
    <row r="59" spans="1:15" x14ac:dyDescent="0.3">
      <c r="A59" s="2" t="s">
        <v>67</v>
      </c>
      <c r="B59" s="1" t="s">
        <v>567</v>
      </c>
      <c r="C59" s="6" t="str">
        <f t="shared" si="0"/>
        <v>November</v>
      </c>
      <c r="D59" s="1" t="s">
        <v>789</v>
      </c>
      <c r="E59" s="1" t="s">
        <v>792</v>
      </c>
      <c r="F59" s="1" t="s">
        <v>794</v>
      </c>
      <c r="G59" s="1" t="s">
        <v>797</v>
      </c>
      <c r="H59" s="1" t="s">
        <v>808</v>
      </c>
      <c r="I59" s="10" t="s">
        <v>813</v>
      </c>
      <c r="J59" s="1" t="s">
        <v>819</v>
      </c>
      <c r="K59" s="24">
        <v>49</v>
      </c>
      <c r="L59" s="25">
        <v>17</v>
      </c>
      <c r="M59" s="16">
        <v>3918</v>
      </c>
      <c r="N59" s="16">
        <v>76596.899999999994</v>
      </c>
      <c r="O59" s="15">
        <v>9990.8999999999942</v>
      </c>
    </row>
    <row r="60" spans="1:15" x14ac:dyDescent="0.3">
      <c r="A60" s="2" t="s">
        <v>68</v>
      </c>
      <c r="B60" s="1" t="s">
        <v>568</v>
      </c>
      <c r="C60" s="6" t="str">
        <f t="shared" si="0"/>
        <v>January</v>
      </c>
      <c r="D60" s="1" t="s">
        <v>788</v>
      </c>
      <c r="E60" s="1" t="s">
        <v>791</v>
      </c>
      <c r="F60" s="1" t="s">
        <v>796</v>
      </c>
      <c r="G60" s="1" t="s">
        <v>802</v>
      </c>
      <c r="H60" s="1" t="s">
        <v>809</v>
      </c>
      <c r="I60" s="10" t="s">
        <v>814</v>
      </c>
      <c r="J60" s="1" t="s">
        <v>819</v>
      </c>
      <c r="K60" s="24">
        <v>71</v>
      </c>
      <c r="L60" s="25">
        <v>20</v>
      </c>
      <c r="M60" s="16">
        <v>35420</v>
      </c>
      <c r="N60" s="16">
        <v>864248</v>
      </c>
      <c r="O60" s="15">
        <v>155848</v>
      </c>
    </row>
    <row r="61" spans="1:15" x14ac:dyDescent="0.3">
      <c r="A61" s="2" t="s">
        <v>69</v>
      </c>
      <c r="B61" s="1" t="s">
        <v>529</v>
      </c>
      <c r="C61" s="6" t="str">
        <f t="shared" si="0"/>
        <v>February</v>
      </c>
      <c r="D61" s="1" t="s">
        <v>787</v>
      </c>
      <c r="E61" s="1" t="s">
        <v>790</v>
      </c>
      <c r="F61" s="1" t="s">
        <v>796</v>
      </c>
      <c r="G61" s="1" t="s">
        <v>799</v>
      </c>
      <c r="H61" s="1" t="s">
        <v>804</v>
      </c>
      <c r="I61" s="10" t="s">
        <v>814</v>
      </c>
      <c r="J61" s="1" t="s">
        <v>816</v>
      </c>
      <c r="K61" s="24">
        <v>36</v>
      </c>
      <c r="L61" s="25">
        <v>1</v>
      </c>
      <c r="M61" s="16">
        <v>33270</v>
      </c>
      <c r="N61" s="16">
        <v>40589.4</v>
      </c>
      <c r="O61" s="15">
        <v>7319.4000000000015</v>
      </c>
    </row>
    <row r="62" spans="1:15" x14ac:dyDescent="0.3">
      <c r="A62" s="2" t="s">
        <v>70</v>
      </c>
      <c r="B62" s="1" t="s">
        <v>547</v>
      </c>
      <c r="C62" s="6" t="str">
        <f t="shared" si="0"/>
        <v>September</v>
      </c>
      <c r="D62" s="1" t="s">
        <v>787</v>
      </c>
      <c r="E62" s="1" t="s">
        <v>793</v>
      </c>
      <c r="F62" s="1" t="s">
        <v>796</v>
      </c>
      <c r="G62" s="1" t="s">
        <v>799</v>
      </c>
      <c r="H62" s="1" t="s">
        <v>804</v>
      </c>
      <c r="I62" s="10" t="s">
        <v>814</v>
      </c>
      <c r="J62" s="1" t="s">
        <v>818</v>
      </c>
      <c r="K62" s="24">
        <v>100</v>
      </c>
      <c r="L62" s="25">
        <v>7</v>
      </c>
      <c r="M62" s="16">
        <v>40360</v>
      </c>
      <c r="N62" s="16">
        <v>344674.4</v>
      </c>
      <c r="O62" s="15">
        <v>62154.400000000023</v>
      </c>
    </row>
    <row r="63" spans="1:15" x14ac:dyDescent="0.3">
      <c r="A63" s="2" t="s">
        <v>71</v>
      </c>
      <c r="B63" s="1" t="s">
        <v>569</v>
      </c>
      <c r="C63" s="6" t="str">
        <f t="shared" si="0"/>
        <v>February</v>
      </c>
      <c r="D63" s="1" t="s">
        <v>788</v>
      </c>
      <c r="E63" s="1" t="s">
        <v>791</v>
      </c>
      <c r="F63" s="1" t="s">
        <v>796</v>
      </c>
      <c r="G63" s="1" t="s">
        <v>802</v>
      </c>
      <c r="H63" s="1" t="s">
        <v>809</v>
      </c>
      <c r="I63" s="10" t="s">
        <v>814</v>
      </c>
      <c r="J63" s="1" t="s">
        <v>818</v>
      </c>
      <c r="K63" s="24">
        <v>9</v>
      </c>
      <c r="L63" s="25">
        <v>20</v>
      </c>
      <c r="M63" s="16">
        <v>50600</v>
      </c>
      <c r="N63" s="16">
        <v>1234640</v>
      </c>
      <c r="O63" s="15">
        <v>222640</v>
      </c>
    </row>
    <row r="64" spans="1:15" x14ac:dyDescent="0.3">
      <c r="A64" s="2" t="s">
        <v>72</v>
      </c>
      <c r="B64" s="1" t="s">
        <v>570</v>
      </c>
      <c r="C64" s="6" t="str">
        <f t="shared" si="0"/>
        <v>March</v>
      </c>
      <c r="D64" s="1" t="s">
        <v>787</v>
      </c>
      <c r="E64" s="1" t="s">
        <v>793</v>
      </c>
      <c r="F64" s="1" t="s">
        <v>796</v>
      </c>
      <c r="G64" s="1" t="s">
        <v>802</v>
      </c>
      <c r="H64" s="1" t="s">
        <v>809</v>
      </c>
      <c r="I64" s="10" t="s">
        <v>814</v>
      </c>
      <c r="J64" s="1" t="s">
        <v>818</v>
      </c>
      <c r="K64" s="24">
        <v>56</v>
      </c>
      <c r="L64" s="25">
        <v>2</v>
      </c>
      <c r="M64" s="16">
        <v>182300</v>
      </c>
      <c r="N64" s="16">
        <v>444812</v>
      </c>
      <c r="O64" s="15">
        <v>80212</v>
      </c>
    </row>
    <row r="65" spans="1:15" x14ac:dyDescent="0.3">
      <c r="A65" s="2" t="s">
        <v>73</v>
      </c>
      <c r="B65" s="1" t="s">
        <v>571</v>
      </c>
      <c r="C65" s="6" t="str">
        <f t="shared" si="0"/>
        <v>October</v>
      </c>
      <c r="D65" s="1" t="s">
        <v>787</v>
      </c>
      <c r="E65" s="1" t="s">
        <v>792</v>
      </c>
      <c r="F65" s="1" t="s">
        <v>795</v>
      </c>
      <c r="G65" s="1" t="s">
        <v>803</v>
      </c>
      <c r="H65" s="1" t="s">
        <v>807</v>
      </c>
      <c r="I65" s="10" t="s">
        <v>811</v>
      </c>
      <c r="J65" s="1" t="s">
        <v>820</v>
      </c>
      <c r="K65" s="24">
        <v>51</v>
      </c>
      <c r="L65" s="25">
        <v>6</v>
      </c>
      <c r="M65" s="16">
        <v>34300</v>
      </c>
      <c r="N65" s="16">
        <v>244902</v>
      </c>
      <c r="O65" s="15">
        <v>39102</v>
      </c>
    </row>
    <row r="66" spans="1:15" x14ac:dyDescent="0.3">
      <c r="A66" s="2" t="s">
        <v>74</v>
      </c>
      <c r="B66" s="1" t="s">
        <v>572</v>
      </c>
      <c r="C66" s="6" t="str">
        <f t="shared" si="0"/>
        <v>May</v>
      </c>
      <c r="D66" s="1" t="s">
        <v>787</v>
      </c>
      <c r="E66" s="1" t="s">
        <v>790</v>
      </c>
      <c r="F66" s="1" t="s">
        <v>794</v>
      </c>
      <c r="G66" s="1" t="s">
        <v>797</v>
      </c>
      <c r="H66" s="1" t="s">
        <v>808</v>
      </c>
      <c r="I66" s="10" t="s">
        <v>813</v>
      </c>
      <c r="J66" s="1" t="s">
        <v>819</v>
      </c>
      <c r="K66" s="24">
        <v>41</v>
      </c>
      <c r="L66" s="25">
        <v>14</v>
      </c>
      <c r="M66" s="16">
        <v>2989</v>
      </c>
      <c r="N66" s="16">
        <v>48122.9</v>
      </c>
      <c r="O66" s="15">
        <v>6276.9000000000015</v>
      </c>
    </row>
    <row r="67" spans="1:15" x14ac:dyDescent="0.3">
      <c r="A67" s="2" t="s">
        <v>75</v>
      </c>
      <c r="B67" s="1" t="s">
        <v>573</v>
      </c>
      <c r="C67" s="6" t="str">
        <f t="shared" ref="C67:C130" si="1">TEXT(B67, "mmmm")</f>
        <v>September</v>
      </c>
      <c r="D67" s="1" t="s">
        <v>789</v>
      </c>
      <c r="E67" s="1" t="s">
        <v>791</v>
      </c>
      <c r="F67" s="1" t="s">
        <v>796</v>
      </c>
      <c r="G67" s="1" t="s">
        <v>800</v>
      </c>
      <c r="H67" s="1" t="s">
        <v>810</v>
      </c>
      <c r="I67" s="10" t="s">
        <v>814</v>
      </c>
      <c r="J67" s="1" t="s">
        <v>818</v>
      </c>
      <c r="K67" s="24">
        <v>54</v>
      </c>
      <c r="L67" s="25">
        <v>2</v>
      </c>
      <c r="M67" s="16">
        <v>145630</v>
      </c>
      <c r="N67" s="16">
        <v>355337.2</v>
      </c>
      <c r="O67" s="15">
        <v>64077.200000000012</v>
      </c>
    </row>
    <row r="68" spans="1:15" x14ac:dyDescent="0.3">
      <c r="A68" s="2" t="s">
        <v>76</v>
      </c>
      <c r="B68" s="1" t="s">
        <v>574</v>
      </c>
      <c r="C68" s="6" t="str">
        <f t="shared" si="1"/>
        <v>July</v>
      </c>
      <c r="D68" s="1" t="s">
        <v>786</v>
      </c>
      <c r="E68" s="1" t="s">
        <v>793</v>
      </c>
      <c r="F68" s="1" t="s">
        <v>795</v>
      </c>
      <c r="G68" s="1" t="s">
        <v>803</v>
      </c>
      <c r="H68" s="1" t="s">
        <v>807</v>
      </c>
      <c r="I68" s="10" t="s">
        <v>811</v>
      </c>
      <c r="J68" s="1" t="s">
        <v>818</v>
      </c>
      <c r="K68" s="24">
        <v>85</v>
      </c>
      <c r="L68" s="25">
        <v>15</v>
      </c>
      <c r="M68" s="16">
        <v>34250</v>
      </c>
      <c r="N68" s="16">
        <v>611362.5</v>
      </c>
      <c r="O68" s="15">
        <v>97612.5</v>
      </c>
    </row>
    <row r="69" spans="1:15" x14ac:dyDescent="0.3">
      <c r="A69" s="2" t="s">
        <v>77</v>
      </c>
      <c r="B69" s="1" t="s">
        <v>575</v>
      </c>
      <c r="C69" s="6" t="str">
        <f t="shared" si="1"/>
        <v>June</v>
      </c>
      <c r="D69" s="1" t="s">
        <v>789</v>
      </c>
      <c r="E69" s="1" t="s">
        <v>790</v>
      </c>
      <c r="F69" s="1" t="s">
        <v>794</v>
      </c>
      <c r="G69" s="1" t="s">
        <v>797</v>
      </c>
      <c r="H69" s="1" t="s">
        <v>808</v>
      </c>
      <c r="I69" s="10" t="s">
        <v>813</v>
      </c>
      <c r="J69" s="1" t="s">
        <v>817</v>
      </c>
      <c r="K69" s="24">
        <v>81</v>
      </c>
      <c r="L69" s="25">
        <v>18</v>
      </c>
      <c r="M69" s="16">
        <v>4301</v>
      </c>
      <c r="N69" s="16">
        <v>89030.7</v>
      </c>
      <c r="O69" s="15">
        <v>11612.699999999997</v>
      </c>
    </row>
    <row r="70" spans="1:15" x14ac:dyDescent="0.3">
      <c r="A70" s="2" t="s">
        <v>78</v>
      </c>
      <c r="B70" s="1" t="s">
        <v>576</v>
      </c>
      <c r="C70" s="6" t="str">
        <f t="shared" si="1"/>
        <v>November</v>
      </c>
      <c r="D70" s="1" t="s">
        <v>785</v>
      </c>
      <c r="E70" s="1" t="s">
        <v>793</v>
      </c>
      <c r="F70" s="1" t="s">
        <v>795</v>
      </c>
      <c r="G70" s="1" t="s">
        <v>798</v>
      </c>
      <c r="H70" s="1" t="s">
        <v>805</v>
      </c>
      <c r="I70" s="10" t="s">
        <v>811</v>
      </c>
      <c r="J70" s="1" t="s">
        <v>819</v>
      </c>
      <c r="K70" s="24">
        <v>52</v>
      </c>
      <c r="L70" s="25">
        <v>15</v>
      </c>
      <c r="M70" s="16">
        <v>1656</v>
      </c>
      <c r="N70" s="16">
        <v>29559.599999999999</v>
      </c>
      <c r="O70" s="15">
        <v>4719.5999999999985</v>
      </c>
    </row>
    <row r="71" spans="1:15" x14ac:dyDescent="0.3">
      <c r="A71" s="2" t="s">
        <v>79</v>
      </c>
      <c r="B71" s="1" t="s">
        <v>577</v>
      </c>
      <c r="C71" s="6" t="str">
        <f t="shared" si="1"/>
        <v>November</v>
      </c>
      <c r="D71" s="1" t="s">
        <v>785</v>
      </c>
      <c r="E71" s="1" t="s">
        <v>793</v>
      </c>
      <c r="F71" s="1" t="s">
        <v>794</v>
      </c>
      <c r="G71" s="1" t="s">
        <v>797</v>
      </c>
      <c r="H71" s="1" t="s">
        <v>808</v>
      </c>
      <c r="I71" s="10" t="s">
        <v>813</v>
      </c>
      <c r="J71" s="1" t="s">
        <v>818</v>
      </c>
      <c r="K71" s="24">
        <v>46</v>
      </c>
      <c r="L71" s="25">
        <v>7</v>
      </c>
      <c r="M71" s="16">
        <v>1100</v>
      </c>
      <c r="N71" s="16">
        <v>8855</v>
      </c>
      <c r="O71" s="15">
        <v>1155</v>
      </c>
    </row>
    <row r="72" spans="1:15" x14ac:dyDescent="0.3">
      <c r="A72" s="2" t="s">
        <v>80</v>
      </c>
      <c r="B72" s="1" t="s">
        <v>555</v>
      </c>
      <c r="C72" s="6" t="str">
        <f t="shared" si="1"/>
        <v>July</v>
      </c>
      <c r="D72" s="1" t="s">
        <v>787</v>
      </c>
      <c r="E72" s="1" t="s">
        <v>790</v>
      </c>
      <c r="F72" s="1" t="s">
        <v>794</v>
      </c>
      <c r="G72" s="1" t="s">
        <v>801</v>
      </c>
      <c r="H72" s="1" t="s">
        <v>806</v>
      </c>
      <c r="I72" s="10" t="s">
        <v>813</v>
      </c>
      <c r="J72" s="1" t="s">
        <v>818</v>
      </c>
      <c r="K72" s="24">
        <v>92</v>
      </c>
      <c r="L72" s="25">
        <v>9</v>
      </c>
      <c r="M72" s="16">
        <v>3516</v>
      </c>
      <c r="N72" s="16">
        <v>36390.6</v>
      </c>
      <c r="O72" s="15">
        <v>4746.5999999999985</v>
      </c>
    </row>
    <row r="73" spans="1:15" x14ac:dyDescent="0.3">
      <c r="A73" s="2" t="s">
        <v>81</v>
      </c>
      <c r="B73" s="1" t="s">
        <v>578</v>
      </c>
      <c r="C73" s="6" t="str">
        <f t="shared" si="1"/>
        <v>January</v>
      </c>
      <c r="D73" s="1" t="s">
        <v>784</v>
      </c>
      <c r="E73" s="1" t="s">
        <v>791</v>
      </c>
      <c r="F73" s="1" t="s">
        <v>794</v>
      </c>
      <c r="G73" s="1" t="s">
        <v>797</v>
      </c>
      <c r="H73" s="1" t="s">
        <v>808</v>
      </c>
      <c r="I73" s="10" t="s">
        <v>813</v>
      </c>
      <c r="J73" s="1" t="s">
        <v>818</v>
      </c>
      <c r="K73" s="24">
        <v>33</v>
      </c>
      <c r="L73" s="25">
        <v>6</v>
      </c>
      <c r="M73" s="16">
        <v>3400</v>
      </c>
      <c r="N73" s="16">
        <v>23460</v>
      </c>
      <c r="O73" s="15">
        <v>3060</v>
      </c>
    </row>
    <row r="74" spans="1:15" x14ac:dyDescent="0.3">
      <c r="A74" s="2" t="s">
        <v>82</v>
      </c>
      <c r="B74" s="1" t="s">
        <v>579</v>
      </c>
      <c r="C74" s="6" t="str">
        <f t="shared" si="1"/>
        <v>August</v>
      </c>
      <c r="D74" s="1" t="s">
        <v>784</v>
      </c>
      <c r="E74" s="1" t="s">
        <v>790</v>
      </c>
      <c r="F74" s="1" t="s">
        <v>794</v>
      </c>
      <c r="G74" s="1" t="s">
        <v>801</v>
      </c>
      <c r="H74" s="1" t="s">
        <v>806</v>
      </c>
      <c r="I74" s="10" t="s">
        <v>813</v>
      </c>
      <c r="J74" s="1" t="s">
        <v>816</v>
      </c>
      <c r="K74" s="24">
        <v>27</v>
      </c>
      <c r="L74" s="25">
        <v>1</v>
      </c>
      <c r="M74" s="16">
        <v>2495</v>
      </c>
      <c r="N74" s="16">
        <v>2869.25</v>
      </c>
      <c r="O74" s="15">
        <v>374.25</v>
      </c>
    </row>
    <row r="75" spans="1:15" x14ac:dyDescent="0.3">
      <c r="A75" s="2" t="s">
        <v>83</v>
      </c>
      <c r="B75" s="1" t="s">
        <v>580</v>
      </c>
      <c r="C75" s="6" t="str">
        <f t="shared" si="1"/>
        <v>January</v>
      </c>
      <c r="D75" s="1" t="s">
        <v>789</v>
      </c>
      <c r="E75" s="1" t="s">
        <v>791</v>
      </c>
      <c r="F75" s="1" t="s">
        <v>794</v>
      </c>
      <c r="G75" s="1" t="s">
        <v>801</v>
      </c>
      <c r="H75" s="1" t="s">
        <v>806</v>
      </c>
      <c r="I75" s="10" t="s">
        <v>813</v>
      </c>
      <c r="J75" s="1" t="s">
        <v>817</v>
      </c>
      <c r="K75" s="24">
        <v>24</v>
      </c>
      <c r="L75" s="25">
        <v>19</v>
      </c>
      <c r="M75" s="16">
        <v>4641</v>
      </c>
      <c r="N75" s="16">
        <v>101405.85</v>
      </c>
      <c r="O75" s="15">
        <v>13226.850000000006</v>
      </c>
    </row>
    <row r="76" spans="1:15" x14ac:dyDescent="0.3">
      <c r="A76" s="2" t="s">
        <v>84</v>
      </c>
      <c r="B76" s="1" t="s">
        <v>581</v>
      </c>
      <c r="C76" s="6" t="str">
        <f t="shared" si="1"/>
        <v>May</v>
      </c>
      <c r="D76" s="1" t="s">
        <v>789</v>
      </c>
      <c r="E76" s="1" t="s">
        <v>790</v>
      </c>
      <c r="F76" s="1" t="s">
        <v>795</v>
      </c>
      <c r="G76" s="1" t="s">
        <v>803</v>
      </c>
      <c r="H76" s="1" t="s">
        <v>807</v>
      </c>
      <c r="I76" s="10" t="s">
        <v>811</v>
      </c>
      <c r="J76" s="1" t="s">
        <v>819</v>
      </c>
      <c r="K76" s="24">
        <v>100</v>
      </c>
      <c r="L76" s="25">
        <v>16</v>
      </c>
      <c r="M76" s="16">
        <v>38480</v>
      </c>
      <c r="N76" s="16">
        <v>732659.19999999995</v>
      </c>
      <c r="O76" s="15">
        <v>116979.19999999995</v>
      </c>
    </row>
    <row r="77" spans="1:15" x14ac:dyDescent="0.3">
      <c r="A77" s="2" t="s">
        <v>85</v>
      </c>
      <c r="B77" s="1" t="s">
        <v>582</v>
      </c>
      <c r="C77" s="6" t="str">
        <f t="shared" si="1"/>
        <v>April</v>
      </c>
      <c r="D77" s="1" t="s">
        <v>785</v>
      </c>
      <c r="E77" s="1" t="s">
        <v>793</v>
      </c>
      <c r="F77" s="1" t="s">
        <v>796</v>
      </c>
      <c r="G77" s="1" t="s">
        <v>800</v>
      </c>
      <c r="H77" s="1" t="s">
        <v>810</v>
      </c>
      <c r="I77" s="10" t="s">
        <v>812</v>
      </c>
      <c r="J77" s="1" t="s">
        <v>817</v>
      </c>
      <c r="K77" s="24">
        <v>91</v>
      </c>
      <c r="L77" s="25">
        <v>11</v>
      </c>
      <c r="M77" s="16">
        <v>154250</v>
      </c>
      <c r="N77" s="16">
        <v>2070035</v>
      </c>
      <c r="O77" s="15">
        <v>373285</v>
      </c>
    </row>
    <row r="78" spans="1:15" x14ac:dyDescent="0.3">
      <c r="A78" s="2" t="s">
        <v>86</v>
      </c>
      <c r="B78" s="1" t="s">
        <v>583</v>
      </c>
      <c r="C78" s="6" t="str">
        <f t="shared" si="1"/>
        <v>February</v>
      </c>
      <c r="D78" s="1" t="s">
        <v>787</v>
      </c>
      <c r="E78" s="1" t="s">
        <v>792</v>
      </c>
      <c r="F78" s="1" t="s">
        <v>796</v>
      </c>
      <c r="G78" s="1" t="s">
        <v>799</v>
      </c>
      <c r="H78" s="1" t="s">
        <v>804</v>
      </c>
      <c r="I78" s="10" t="s">
        <v>812</v>
      </c>
      <c r="J78" s="1" t="s">
        <v>819</v>
      </c>
      <c r="K78" s="24">
        <v>35</v>
      </c>
      <c r="L78" s="25">
        <v>10</v>
      </c>
      <c r="M78" s="16">
        <v>79800</v>
      </c>
      <c r="N78" s="16">
        <v>973560</v>
      </c>
      <c r="O78" s="15">
        <v>175560</v>
      </c>
    </row>
    <row r="79" spans="1:15" x14ac:dyDescent="0.3">
      <c r="A79" s="2" t="s">
        <v>87</v>
      </c>
      <c r="B79" s="1" t="s">
        <v>584</v>
      </c>
      <c r="C79" s="6" t="str">
        <f t="shared" si="1"/>
        <v>January</v>
      </c>
      <c r="D79" s="1" t="s">
        <v>784</v>
      </c>
      <c r="E79" s="1" t="s">
        <v>790</v>
      </c>
      <c r="F79" s="1" t="s">
        <v>796</v>
      </c>
      <c r="G79" s="1" t="s">
        <v>800</v>
      </c>
      <c r="H79" s="1" t="s">
        <v>810</v>
      </c>
      <c r="I79" s="10" t="s">
        <v>812</v>
      </c>
      <c r="J79" s="1" t="s">
        <v>817</v>
      </c>
      <c r="K79" s="24">
        <v>59</v>
      </c>
      <c r="L79" s="25">
        <v>20</v>
      </c>
      <c r="M79" s="16">
        <v>450600</v>
      </c>
      <c r="N79" s="16">
        <v>10994640</v>
      </c>
      <c r="O79" s="15">
        <v>1982640</v>
      </c>
    </row>
    <row r="80" spans="1:15" x14ac:dyDescent="0.3">
      <c r="A80" s="2" t="s">
        <v>88</v>
      </c>
      <c r="B80" s="1" t="s">
        <v>585</v>
      </c>
      <c r="C80" s="6" t="str">
        <f t="shared" si="1"/>
        <v>September</v>
      </c>
      <c r="D80" s="1" t="s">
        <v>784</v>
      </c>
      <c r="E80" s="1" t="s">
        <v>791</v>
      </c>
      <c r="F80" s="1" t="s">
        <v>795</v>
      </c>
      <c r="G80" s="1" t="s">
        <v>803</v>
      </c>
      <c r="H80" s="1" t="s">
        <v>807</v>
      </c>
      <c r="I80" s="10" t="s">
        <v>811</v>
      </c>
      <c r="J80" s="1" t="s">
        <v>819</v>
      </c>
      <c r="K80" s="24">
        <v>78</v>
      </c>
      <c r="L80" s="25">
        <v>1</v>
      </c>
      <c r="M80" s="16">
        <v>24800</v>
      </c>
      <c r="N80" s="16">
        <v>29512</v>
      </c>
      <c r="O80" s="15">
        <v>4712</v>
      </c>
    </row>
    <row r="81" spans="1:15" x14ac:dyDescent="0.3">
      <c r="A81" s="2" t="s">
        <v>89</v>
      </c>
      <c r="B81" s="1" t="s">
        <v>586</v>
      </c>
      <c r="C81" s="6" t="str">
        <f t="shared" si="1"/>
        <v>March</v>
      </c>
      <c r="D81" s="1" t="s">
        <v>788</v>
      </c>
      <c r="E81" s="1" t="s">
        <v>791</v>
      </c>
      <c r="F81" s="1" t="s">
        <v>796</v>
      </c>
      <c r="G81" s="1" t="s">
        <v>799</v>
      </c>
      <c r="H81" s="1" t="s">
        <v>804</v>
      </c>
      <c r="I81" s="10" t="s">
        <v>812</v>
      </c>
      <c r="J81" s="1" t="s">
        <v>819</v>
      </c>
      <c r="K81" s="24">
        <v>72</v>
      </c>
      <c r="L81" s="25">
        <v>15</v>
      </c>
      <c r="M81" s="16">
        <v>45600</v>
      </c>
      <c r="N81" s="16">
        <v>834480</v>
      </c>
      <c r="O81" s="15">
        <v>150480</v>
      </c>
    </row>
    <row r="82" spans="1:15" x14ac:dyDescent="0.3">
      <c r="A82" s="2" t="s">
        <v>90</v>
      </c>
      <c r="B82" s="1" t="s">
        <v>542</v>
      </c>
      <c r="C82" s="6" t="str">
        <f t="shared" si="1"/>
        <v>December</v>
      </c>
      <c r="D82" s="1" t="s">
        <v>786</v>
      </c>
      <c r="E82" s="1" t="s">
        <v>791</v>
      </c>
      <c r="F82" s="1" t="s">
        <v>795</v>
      </c>
      <c r="G82" s="1" t="s">
        <v>803</v>
      </c>
      <c r="H82" s="1" t="s">
        <v>807</v>
      </c>
      <c r="I82" s="10" t="s">
        <v>811</v>
      </c>
      <c r="J82" s="1" t="s">
        <v>818</v>
      </c>
      <c r="K82" s="24">
        <v>27</v>
      </c>
      <c r="L82" s="25">
        <v>5</v>
      </c>
      <c r="M82" s="16">
        <v>21380</v>
      </c>
      <c r="N82" s="16">
        <v>127211</v>
      </c>
      <c r="O82" s="15">
        <v>20311</v>
      </c>
    </row>
    <row r="83" spans="1:15" x14ac:dyDescent="0.3">
      <c r="A83" s="2" t="s">
        <v>91</v>
      </c>
      <c r="B83" s="1" t="s">
        <v>587</v>
      </c>
      <c r="C83" s="6" t="str">
        <f t="shared" si="1"/>
        <v>November</v>
      </c>
      <c r="D83" s="1" t="s">
        <v>787</v>
      </c>
      <c r="E83" s="1" t="s">
        <v>792</v>
      </c>
      <c r="F83" s="1" t="s">
        <v>796</v>
      </c>
      <c r="G83" s="1" t="s">
        <v>802</v>
      </c>
      <c r="H83" s="1" t="s">
        <v>809</v>
      </c>
      <c r="I83" s="10" t="s">
        <v>812</v>
      </c>
      <c r="J83" s="1" t="s">
        <v>819</v>
      </c>
      <c r="K83" s="24">
        <v>38</v>
      </c>
      <c r="L83" s="25">
        <v>8</v>
      </c>
      <c r="M83" s="16">
        <v>51700</v>
      </c>
      <c r="N83" s="16">
        <v>504592</v>
      </c>
      <c r="O83" s="15">
        <v>90992</v>
      </c>
    </row>
    <row r="84" spans="1:15" x14ac:dyDescent="0.3">
      <c r="A84" s="2" t="s">
        <v>92</v>
      </c>
      <c r="B84" s="1" t="s">
        <v>588</v>
      </c>
      <c r="C84" s="6" t="str">
        <f t="shared" si="1"/>
        <v>January</v>
      </c>
      <c r="D84" s="1" t="s">
        <v>789</v>
      </c>
      <c r="E84" s="1" t="s">
        <v>793</v>
      </c>
      <c r="F84" s="1" t="s">
        <v>796</v>
      </c>
      <c r="G84" s="1" t="s">
        <v>800</v>
      </c>
      <c r="H84" s="1" t="s">
        <v>810</v>
      </c>
      <c r="I84" s="10" t="s">
        <v>812</v>
      </c>
      <c r="J84" s="1" t="s">
        <v>819</v>
      </c>
      <c r="K84" s="24">
        <v>18</v>
      </c>
      <c r="L84" s="25">
        <v>13</v>
      </c>
      <c r="M84" s="16">
        <v>65200</v>
      </c>
      <c r="N84" s="16">
        <v>1034072</v>
      </c>
      <c r="O84" s="15">
        <v>186472</v>
      </c>
    </row>
    <row r="85" spans="1:15" x14ac:dyDescent="0.3">
      <c r="A85" s="2" t="s">
        <v>93</v>
      </c>
      <c r="B85" s="1" t="s">
        <v>589</v>
      </c>
      <c r="C85" s="6" t="str">
        <f t="shared" si="1"/>
        <v>September</v>
      </c>
      <c r="D85" s="1" t="s">
        <v>787</v>
      </c>
      <c r="E85" s="1" t="s">
        <v>790</v>
      </c>
      <c r="F85" s="1" t="s">
        <v>796</v>
      </c>
      <c r="G85" s="1" t="s">
        <v>802</v>
      </c>
      <c r="H85" s="1" t="s">
        <v>809</v>
      </c>
      <c r="I85" s="10" t="s">
        <v>814</v>
      </c>
      <c r="J85" s="1" t="s">
        <v>816</v>
      </c>
      <c r="K85" s="24">
        <v>96</v>
      </c>
      <c r="L85" s="25">
        <v>11</v>
      </c>
      <c r="M85" s="16">
        <v>40910</v>
      </c>
      <c r="N85" s="16">
        <v>549012.19999999995</v>
      </c>
      <c r="O85" s="15">
        <v>99002.199999999953</v>
      </c>
    </row>
    <row r="86" spans="1:15" x14ac:dyDescent="0.3">
      <c r="A86" s="2" t="s">
        <v>94</v>
      </c>
      <c r="B86" s="1" t="s">
        <v>536</v>
      </c>
      <c r="C86" s="6" t="str">
        <f t="shared" si="1"/>
        <v>July</v>
      </c>
      <c r="D86" s="1" t="s">
        <v>788</v>
      </c>
      <c r="E86" s="1" t="s">
        <v>791</v>
      </c>
      <c r="F86" s="1" t="s">
        <v>795</v>
      </c>
      <c r="G86" s="1" t="s">
        <v>803</v>
      </c>
      <c r="H86" s="1" t="s">
        <v>807</v>
      </c>
      <c r="I86" s="10" t="s">
        <v>811</v>
      </c>
      <c r="J86" s="1" t="s">
        <v>819</v>
      </c>
      <c r="K86" s="24">
        <v>15</v>
      </c>
      <c r="L86" s="25">
        <v>9</v>
      </c>
      <c r="M86" s="16">
        <v>47360</v>
      </c>
      <c r="N86" s="16">
        <v>507225.59999999998</v>
      </c>
      <c r="O86" s="15">
        <v>80985.599999999977</v>
      </c>
    </row>
    <row r="87" spans="1:15" x14ac:dyDescent="0.3">
      <c r="A87" s="2" t="s">
        <v>95</v>
      </c>
      <c r="B87" s="1" t="s">
        <v>577</v>
      </c>
      <c r="C87" s="6" t="str">
        <f t="shared" si="1"/>
        <v>November</v>
      </c>
      <c r="D87" s="1" t="s">
        <v>789</v>
      </c>
      <c r="E87" s="1" t="s">
        <v>793</v>
      </c>
      <c r="F87" s="1" t="s">
        <v>796</v>
      </c>
      <c r="G87" s="1" t="s">
        <v>802</v>
      </c>
      <c r="H87" s="1" t="s">
        <v>809</v>
      </c>
      <c r="I87" s="10" t="s">
        <v>814</v>
      </c>
      <c r="J87" s="1" t="s">
        <v>816</v>
      </c>
      <c r="K87" s="24">
        <v>3</v>
      </c>
      <c r="L87" s="25">
        <v>9</v>
      </c>
      <c r="M87" s="16">
        <v>42280</v>
      </c>
      <c r="N87" s="16">
        <v>464234.4</v>
      </c>
      <c r="O87" s="15">
        <v>83714.400000000023</v>
      </c>
    </row>
    <row r="88" spans="1:15" x14ac:dyDescent="0.3">
      <c r="A88" s="2" t="s">
        <v>96</v>
      </c>
      <c r="B88" s="1" t="s">
        <v>590</v>
      </c>
      <c r="C88" s="6" t="str">
        <f t="shared" si="1"/>
        <v>July</v>
      </c>
      <c r="D88" s="1" t="s">
        <v>788</v>
      </c>
      <c r="E88" s="1" t="s">
        <v>793</v>
      </c>
      <c r="F88" s="1" t="s">
        <v>795</v>
      </c>
      <c r="G88" s="1" t="s">
        <v>803</v>
      </c>
      <c r="H88" s="1" t="s">
        <v>807</v>
      </c>
      <c r="I88" s="10" t="s">
        <v>811</v>
      </c>
      <c r="J88" s="1" t="s">
        <v>819</v>
      </c>
      <c r="K88" s="24">
        <v>81</v>
      </c>
      <c r="L88" s="25">
        <v>2</v>
      </c>
      <c r="M88" s="16">
        <v>24700</v>
      </c>
      <c r="N88" s="16">
        <v>58786</v>
      </c>
      <c r="O88" s="15">
        <v>9386</v>
      </c>
    </row>
    <row r="89" spans="1:15" x14ac:dyDescent="0.3">
      <c r="A89" s="2" t="s">
        <v>97</v>
      </c>
      <c r="B89" s="1" t="s">
        <v>544</v>
      </c>
      <c r="C89" s="6" t="str">
        <f t="shared" si="1"/>
        <v>November</v>
      </c>
      <c r="D89" s="1" t="s">
        <v>784</v>
      </c>
      <c r="E89" s="1" t="s">
        <v>790</v>
      </c>
      <c r="F89" s="1" t="s">
        <v>794</v>
      </c>
      <c r="G89" s="1" t="s">
        <v>797</v>
      </c>
      <c r="H89" s="1" t="s">
        <v>808</v>
      </c>
      <c r="I89" s="10" t="s">
        <v>813</v>
      </c>
      <c r="J89" s="1" t="s">
        <v>817</v>
      </c>
      <c r="K89" s="24">
        <v>64</v>
      </c>
      <c r="L89" s="25">
        <v>2</v>
      </c>
      <c r="M89" s="16">
        <v>4802</v>
      </c>
      <c r="N89" s="16">
        <v>11044.6</v>
      </c>
      <c r="O89" s="15">
        <v>1440.6000000000004</v>
      </c>
    </row>
    <row r="90" spans="1:15" x14ac:dyDescent="0.3">
      <c r="A90" s="2" t="s">
        <v>98</v>
      </c>
      <c r="B90" s="1" t="s">
        <v>591</v>
      </c>
      <c r="C90" s="6" t="str">
        <f t="shared" si="1"/>
        <v>December</v>
      </c>
      <c r="D90" s="1" t="s">
        <v>787</v>
      </c>
      <c r="E90" s="1" t="s">
        <v>791</v>
      </c>
      <c r="F90" s="1" t="s">
        <v>794</v>
      </c>
      <c r="G90" s="1" t="s">
        <v>801</v>
      </c>
      <c r="H90" s="1" t="s">
        <v>806</v>
      </c>
      <c r="I90" s="10" t="s">
        <v>813</v>
      </c>
      <c r="J90" s="1" t="s">
        <v>819</v>
      </c>
      <c r="K90" s="24">
        <v>51</v>
      </c>
      <c r="L90" s="25">
        <v>7</v>
      </c>
      <c r="M90" s="16">
        <v>4664</v>
      </c>
      <c r="N90" s="16">
        <v>37545.199999999997</v>
      </c>
      <c r="O90" s="15">
        <v>4897.1999999999971</v>
      </c>
    </row>
    <row r="91" spans="1:15" x14ac:dyDescent="0.3">
      <c r="A91" s="2" t="s">
        <v>99</v>
      </c>
      <c r="B91" s="1" t="s">
        <v>566</v>
      </c>
      <c r="C91" s="6" t="str">
        <f t="shared" si="1"/>
        <v>December</v>
      </c>
      <c r="D91" s="1" t="s">
        <v>787</v>
      </c>
      <c r="E91" s="1" t="s">
        <v>791</v>
      </c>
      <c r="F91" s="1" t="s">
        <v>795</v>
      </c>
      <c r="G91" s="1" t="s">
        <v>803</v>
      </c>
      <c r="H91" s="1" t="s">
        <v>807</v>
      </c>
      <c r="I91" s="10" t="s">
        <v>811</v>
      </c>
      <c r="J91" s="1" t="s">
        <v>818</v>
      </c>
      <c r="K91" s="24">
        <v>20</v>
      </c>
      <c r="L91" s="25">
        <v>1</v>
      </c>
      <c r="M91" s="16">
        <v>45290</v>
      </c>
      <c r="N91" s="16">
        <v>53895.1</v>
      </c>
      <c r="O91" s="15">
        <v>8605.0999999999985</v>
      </c>
    </row>
    <row r="92" spans="1:15" x14ac:dyDescent="0.3">
      <c r="A92" s="2" t="s">
        <v>100</v>
      </c>
      <c r="B92" s="1" t="s">
        <v>592</v>
      </c>
      <c r="C92" s="6" t="str">
        <f t="shared" si="1"/>
        <v>October</v>
      </c>
      <c r="D92" s="1" t="s">
        <v>785</v>
      </c>
      <c r="E92" s="1" t="s">
        <v>793</v>
      </c>
      <c r="F92" s="1" t="s">
        <v>794</v>
      </c>
      <c r="G92" s="1" t="s">
        <v>801</v>
      </c>
      <c r="H92" s="1" t="s">
        <v>806</v>
      </c>
      <c r="I92" s="10" t="s">
        <v>813</v>
      </c>
      <c r="J92" s="1" t="s">
        <v>816</v>
      </c>
      <c r="K92" s="24">
        <v>0</v>
      </c>
      <c r="L92" s="25">
        <v>12</v>
      </c>
      <c r="M92" s="16">
        <v>3022</v>
      </c>
      <c r="N92" s="16">
        <v>41703.599999999999</v>
      </c>
      <c r="O92" s="15">
        <v>5439.5999999999985</v>
      </c>
    </row>
    <row r="93" spans="1:15" x14ac:dyDescent="0.3">
      <c r="A93" s="2" t="s">
        <v>101</v>
      </c>
      <c r="B93" s="1" t="s">
        <v>593</v>
      </c>
      <c r="C93" s="6" t="str">
        <f t="shared" si="1"/>
        <v>March</v>
      </c>
      <c r="D93" s="1" t="s">
        <v>788</v>
      </c>
      <c r="E93" s="1" t="s">
        <v>790</v>
      </c>
      <c r="F93" s="1" t="s">
        <v>796</v>
      </c>
      <c r="G93" s="1" t="s">
        <v>799</v>
      </c>
      <c r="H93" s="1" t="s">
        <v>804</v>
      </c>
      <c r="I93" s="10" t="s">
        <v>814</v>
      </c>
      <c r="J93" s="1" t="s">
        <v>820</v>
      </c>
      <c r="K93" s="24">
        <v>16</v>
      </c>
      <c r="L93" s="25">
        <v>12</v>
      </c>
      <c r="M93" s="16">
        <v>21230</v>
      </c>
      <c r="N93" s="16">
        <v>310807.2</v>
      </c>
      <c r="O93" s="15">
        <v>56047.200000000012</v>
      </c>
    </row>
    <row r="94" spans="1:15" x14ac:dyDescent="0.3">
      <c r="A94" s="2" t="s">
        <v>102</v>
      </c>
      <c r="B94" s="1" t="s">
        <v>528</v>
      </c>
      <c r="C94" s="6" t="str">
        <f t="shared" si="1"/>
        <v>January</v>
      </c>
      <c r="D94" s="1" t="s">
        <v>784</v>
      </c>
      <c r="E94" s="1" t="s">
        <v>793</v>
      </c>
      <c r="F94" s="1" t="s">
        <v>796</v>
      </c>
      <c r="G94" s="1" t="s">
        <v>802</v>
      </c>
      <c r="H94" s="1" t="s">
        <v>809</v>
      </c>
      <c r="I94" s="10" t="s">
        <v>812</v>
      </c>
      <c r="J94" s="1" t="s">
        <v>817</v>
      </c>
      <c r="K94" s="24">
        <v>24</v>
      </c>
      <c r="L94" s="25">
        <v>16</v>
      </c>
      <c r="M94" s="16">
        <v>186000</v>
      </c>
      <c r="N94" s="16">
        <v>3630720</v>
      </c>
      <c r="O94" s="15">
        <v>654720</v>
      </c>
    </row>
    <row r="95" spans="1:15" x14ac:dyDescent="0.3">
      <c r="A95" s="2" t="s">
        <v>103</v>
      </c>
      <c r="B95" s="1" t="s">
        <v>594</v>
      </c>
      <c r="C95" s="6" t="str">
        <f t="shared" si="1"/>
        <v>January</v>
      </c>
      <c r="D95" s="1" t="s">
        <v>786</v>
      </c>
      <c r="E95" s="1" t="s">
        <v>793</v>
      </c>
      <c r="F95" s="1" t="s">
        <v>795</v>
      </c>
      <c r="G95" s="1" t="s">
        <v>798</v>
      </c>
      <c r="H95" s="1" t="s">
        <v>805</v>
      </c>
      <c r="I95" s="10" t="s">
        <v>811</v>
      </c>
      <c r="J95" s="1" t="s">
        <v>820</v>
      </c>
      <c r="K95" s="24">
        <v>15</v>
      </c>
      <c r="L95" s="25">
        <v>9</v>
      </c>
      <c r="M95" s="16">
        <v>1809</v>
      </c>
      <c r="N95" s="16">
        <v>19374.39</v>
      </c>
      <c r="O95" s="15">
        <v>3093.3899999999994</v>
      </c>
    </row>
    <row r="96" spans="1:15" x14ac:dyDescent="0.3">
      <c r="A96" s="2" t="s">
        <v>104</v>
      </c>
      <c r="B96" s="1" t="s">
        <v>595</v>
      </c>
      <c r="C96" s="6" t="str">
        <f t="shared" si="1"/>
        <v>September</v>
      </c>
      <c r="D96" s="1" t="s">
        <v>785</v>
      </c>
      <c r="E96" s="1" t="s">
        <v>791</v>
      </c>
      <c r="F96" s="1" t="s">
        <v>794</v>
      </c>
      <c r="G96" s="1" t="s">
        <v>801</v>
      </c>
      <c r="H96" s="1" t="s">
        <v>806</v>
      </c>
      <c r="I96" s="10" t="s">
        <v>813</v>
      </c>
      <c r="J96" s="1" t="s">
        <v>817</v>
      </c>
      <c r="K96" s="24">
        <v>71</v>
      </c>
      <c r="L96" s="25">
        <v>1</v>
      </c>
      <c r="M96" s="16">
        <v>1266</v>
      </c>
      <c r="N96" s="16">
        <v>1455.9</v>
      </c>
      <c r="O96" s="15">
        <v>189.90000000000009</v>
      </c>
    </row>
    <row r="97" spans="1:15" x14ac:dyDescent="0.3">
      <c r="A97" s="2" t="s">
        <v>105</v>
      </c>
      <c r="B97" s="1" t="s">
        <v>596</v>
      </c>
      <c r="C97" s="6" t="str">
        <f t="shared" si="1"/>
        <v>March</v>
      </c>
      <c r="D97" s="1" t="s">
        <v>785</v>
      </c>
      <c r="E97" s="1" t="s">
        <v>792</v>
      </c>
      <c r="F97" s="1" t="s">
        <v>796</v>
      </c>
      <c r="G97" s="1" t="s">
        <v>802</v>
      </c>
      <c r="H97" s="1" t="s">
        <v>809</v>
      </c>
      <c r="I97" s="10" t="s">
        <v>812</v>
      </c>
      <c r="J97" s="1" t="s">
        <v>819</v>
      </c>
      <c r="K97" s="24">
        <v>86</v>
      </c>
      <c r="L97" s="25">
        <v>2</v>
      </c>
      <c r="M97" s="16">
        <v>40480</v>
      </c>
      <c r="N97" s="16">
        <v>98771.199999999997</v>
      </c>
      <c r="O97" s="15">
        <v>17811.199999999997</v>
      </c>
    </row>
    <row r="98" spans="1:15" x14ac:dyDescent="0.3">
      <c r="A98" s="2" t="s">
        <v>106</v>
      </c>
      <c r="B98" s="1" t="s">
        <v>521</v>
      </c>
      <c r="C98" s="6" t="str">
        <f t="shared" si="1"/>
        <v>August</v>
      </c>
      <c r="D98" s="1" t="s">
        <v>786</v>
      </c>
      <c r="E98" s="1" t="s">
        <v>792</v>
      </c>
      <c r="F98" s="1" t="s">
        <v>795</v>
      </c>
      <c r="G98" s="1" t="s">
        <v>798</v>
      </c>
      <c r="H98" s="1" t="s">
        <v>805</v>
      </c>
      <c r="I98" s="10" t="s">
        <v>811</v>
      </c>
      <c r="J98" s="1" t="s">
        <v>816</v>
      </c>
      <c r="K98" s="24">
        <v>84</v>
      </c>
      <c r="L98" s="25">
        <v>10</v>
      </c>
      <c r="M98" s="16">
        <v>4270</v>
      </c>
      <c r="N98" s="16">
        <v>50813</v>
      </c>
      <c r="O98" s="15">
        <v>8113</v>
      </c>
    </row>
    <row r="99" spans="1:15" x14ac:dyDescent="0.3">
      <c r="A99" s="2" t="s">
        <v>107</v>
      </c>
      <c r="B99" s="1" t="s">
        <v>597</v>
      </c>
      <c r="C99" s="6" t="str">
        <f t="shared" si="1"/>
        <v>May</v>
      </c>
      <c r="D99" s="1" t="s">
        <v>788</v>
      </c>
      <c r="E99" s="1" t="s">
        <v>792</v>
      </c>
      <c r="F99" s="1" t="s">
        <v>795</v>
      </c>
      <c r="G99" s="1" t="s">
        <v>803</v>
      </c>
      <c r="H99" s="1" t="s">
        <v>807</v>
      </c>
      <c r="I99" s="10" t="s">
        <v>811</v>
      </c>
      <c r="J99" s="1" t="s">
        <v>817</v>
      </c>
      <c r="K99" s="24">
        <v>85</v>
      </c>
      <c r="L99" s="25">
        <v>13</v>
      </c>
      <c r="M99" s="16">
        <v>40380</v>
      </c>
      <c r="N99" s="16">
        <v>624678.6</v>
      </c>
      <c r="O99" s="15">
        <v>99738.599999999977</v>
      </c>
    </row>
    <row r="100" spans="1:15" x14ac:dyDescent="0.3">
      <c r="A100" s="2" t="s">
        <v>108</v>
      </c>
      <c r="B100" s="1" t="s">
        <v>598</v>
      </c>
      <c r="C100" s="6" t="str">
        <f t="shared" si="1"/>
        <v>December</v>
      </c>
      <c r="D100" s="1" t="s">
        <v>784</v>
      </c>
      <c r="E100" s="1" t="s">
        <v>792</v>
      </c>
      <c r="F100" s="1" t="s">
        <v>795</v>
      </c>
      <c r="G100" s="1" t="s">
        <v>803</v>
      </c>
      <c r="H100" s="1" t="s">
        <v>807</v>
      </c>
      <c r="I100" s="10" t="s">
        <v>811</v>
      </c>
      <c r="J100" s="1" t="s">
        <v>816</v>
      </c>
      <c r="K100" s="24">
        <v>60</v>
      </c>
      <c r="L100" s="25">
        <v>17</v>
      </c>
      <c r="M100" s="16">
        <v>56500</v>
      </c>
      <c r="N100" s="16">
        <v>1142995</v>
      </c>
      <c r="O100" s="15">
        <v>182495</v>
      </c>
    </row>
    <row r="101" spans="1:15" x14ac:dyDescent="0.3">
      <c r="A101" s="2" t="s">
        <v>109</v>
      </c>
      <c r="B101" s="1" t="s">
        <v>599</v>
      </c>
      <c r="C101" s="6" t="str">
        <f t="shared" si="1"/>
        <v>July</v>
      </c>
      <c r="D101" s="1" t="s">
        <v>788</v>
      </c>
      <c r="E101" s="1" t="s">
        <v>791</v>
      </c>
      <c r="F101" s="1" t="s">
        <v>795</v>
      </c>
      <c r="G101" s="1" t="s">
        <v>803</v>
      </c>
      <c r="H101" s="1" t="s">
        <v>807</v>
      </c>
      <c r="I101" s="10" t="s">
        <v>811</v>
      </c>
      <c r="J101" s="1" t="s">
        <v>817</v>
      </c>
      <c r="K101" s="24">
        <v>43</v>
      </c>
      <c r="L101" s="25">
        <v>2</v>
      </c>
      <c r="M101" s="16">
        <v>32200</v>
      </c>
      <c r="N101" s="16">
        <v>76636</v>
      </c>
      <c r="O101" s="15">
        <v>12236</v>
      </c>
    </row>
    <row r="102" spans="1:15" x14ac:dyDescent="0.3">
      <c r="A102" s="2" t="s">
        <v>110</v>
      </c>
      <c r="B102" s="1" t="s">
        <v>600</v>
      </c>
      <c r="C102" s="6" t="str">
        <f t="shared" si="1"/>
        <v>December</v>
      </c>
      <c r="D102" s="1" t="s">
        <v>789</v>
      </c>
      <c r="E102" s="1" t="s">
        <v>790</v>
      </c>
      <c r="F102" s="1" t="s">
        <v>794</v>
      </c>
      <c r="G102" s="1" t="s">
        <v>801</v>
      </c>
      <c r="H102" s="1" t="s">
        <v>806</v>
      </c>
      <c r="I102" s="10" t="s">
        <v>813</v>
      </c>
      <c r="J102" s="1" t="s">
        <v>817</v>
      </c>
      <c r="K102" s="24">
        <v>43</v>
      </c>
      <c r="L102" s="25">
        <v>20</v>
      </c>
      <c r="M102" s="16">
        <v>3992</v>
      </c>
      <c r="N102" s="16">
        <v>91816</v>
      </c>
      <c r="O102" s="15">
        <v>11976</v>
      </c>
    </row>
    <row r="103" spans="1:15" x14ac:dyDescent="0.3">
      <c r="A103" s="2" t="s">
        <v>111</v>
      </c>
      <c r="B103" s="1" t="s">
        <v>601</v>
      </c>
      <c r="C103" s="6" t="str">
        <f t="shared" si="1"/>
        <v>March</v>
      </c>
      <c r="D103" s="1" t="s">
        <v>785</v>
      </c>
      <c r="E103" s="1" t="s">
        <v>792</v>
      </c>
      <c r="F103" s="1" t="s">
        <v>794</v>
      </c>
      <c r="G103" s="1" t="s">
        <v>797</v>
      </c>
      <c r="H103" s="1" t="s">
        <v>808</v>
      </c>
      <c r="I103" s="10" t="s">
        <v>813</v>
      </c>
      <c r="J103" s="1" t="s">
        <v>819</v>
      </c>
      <c r="K103" s="24">
        <v>24</v>
      </c>
      <c r="L103" s="25">
        <v>19</v>
      </c>
      <c r="M103" s="16">
        <v>1200</v>
      </c>
      <c r="N103" s="16">
        <v>26220</v>
      </c>
      <c r="O103" s="15">
        <v>3420</v>
      </c>
    </row>
    <row r="104" spans="1:15" x14ac:dyDescent="0.3">
      <c r="A104" s="2" t="s">
        <v>112</v>
      </c>
      <c r="B104" s="1" t="s">
        <v>602</v>
      </c>
      <c r="C104" s="6" t="str">
        <f t="shared" si="1"/>
        <v>October</v>
      </c>
      <c r="D104" s="1" t="s">
        <v>789</v>
      </c>
      <c r="E104" s="1" t="s">
        <v>791</v>
      </c>
      <c r="F104" s="1" t="s">
        <v>795</v>
      </c>
      <c r="G104" s="1" t="s">
        <v>798</v>
      </c>
      <c r="H104" s="1" t="s">
        <v>805</v>
      </c>
      <c r="I104" s="10" t="s">
        <v>811</v>
      </c>
      <c r="J104" s="1" t="s">
        <v>818</v>
      </c>
      <c r="K104" s="24">
        <v>24</v>
      </c>
      <c r="L104" s="25">
        <v>6</v>
      </c>
      <c r="M104" s="16">
        <v>1432</v>
      </c>
      <c r="N104" s="16">
        <v>10224.48</v>
      </c>
      <c r="O104" s="15">
        <v>1632.4799999999996</v>
      </c>
    </row>
    <row r="105" spans="1:15" x14ac:dyDescent="0.3">
      <c r="A105" s="2" t="s">
        <v>113</v>
      </c>
      <c r="B105" s="1" t="s">
        <v>531</v>
      </c>
      <c r="C105" s="6" t="str">
        <f t="shared" si="1"/>
        <v>May</v>
      </c>
      <c r="D105" s="1" t="s">
        <v>789</v>
      </c>
      <c r="E105" s="1" t="s">
        <v>793</v>
      </c>
      <c r="F105" s="1" t="s">
        <v>795</v>
      </c>
      <c r="G105" s="1" t="s">
        <v>803</v>
      </c>
      <c r="H105" s="1" t="s">
        <v>807</v>
      </c>
      <c r="I105" s="10" t="s">
        <v>811</v>
      </c>
      <c r="J105" s="1" t="s">
        <v>818</v>
      </c>
      <c r="K105" s="24">
        <v>28</v>
      </c>
      <c r="L105" s="25">
        <v>11</v>
      </c>
      <c r="M105" s="16">
        <v>46530</v>
      </c>
      <c r="N105" s="16">
        <v>609077.69999999995</v>
      </c>
      <c r="O105" s="15">
        <v>97247.699999999953</v>
      </c>
    </row>
    <row r="106" spans="1:15" x14ac:dyDescent="0.3">
      <c r="A106" s="2" t="s">
        <v>114</v>
      </c>
      <c r="B106" s="1" t="s">
        <v>603</v>
      </c>
      <c r="C106" s="6" t="str">
        <f t="shared" si="1"/>
        <v>May</v>
      </c>
      <c r="D106" s="1" t="s">
        <v>786</v>
      </c>
      <c r="E106" s="1" t="s">
        <v>793</v>
      </c>
      <c r="F106" s="1" t="s">
        <v>796</v>
      </c>
      <c r="G106" s="1" t="s">
        <v>799</v>
      </c>
      <c r="H106" s="1" t="s">
        <v>804</v>
      </c>
      <c r="I106" s="10" t="s">
        <v>812</v>
      </c>
      <c r="J106" s="1" t="s">
        <v>819</v>
      </c>
      <c r="K106" s="24">
        <v>25</v>
      </c>
      <c r="L106" s="25">
        <v>20</v>
      </c>
      <c r="M106" s="16">
        <v>10890</v>
      </c>
      <c r="N106" s="16">
        <v>265716</v>
      </c>
      <c r="O106" s="15">
        <v>47916</v>
      </c>
    </row>
    <row r="107" spans="1:15" x14ac:dyDescent="0.3">
      <c r="A107" s="2" t="s">
        <v>115</v>
      </c>
      <c r="B107" s="1" t="s">
        <v>604</v>
      </c>
      <c r="C107" s="6" t="str">
        <f t="shared" si="1"/>
        <v>April</v>
      </c>
      <c r="D107" s="1" t="s">
        <v>784</v>
      </c>
      <c r="E107" s="1" t="s">
        <v>791</v>
      </c>
      <c r="F107" s="1" t="s">
        <v>795</v>
      </c>
      <c r="G107" s="1" t="s">
        <v>803</v>
      </c>
      <c r="H107" s="1" t="s">
        <v>807</v>
      </c>
      <c r="I107" s="10" t="s">
        <v>811</v>
      </c>
      <c r="J107" s="1" t="s">
        <v>819</v>
      </c>
      <c r="K107" s="24">
        <v>66</v>
      </c>
      <c r="L107" s="25">
        <v>16</v>
      </c>
      <c r="M107" s="16">
        <v>31510</v>
      </c>
      <c r="N107" s="16">
        <v>599950.4</v>
      </c>
      <c r="O107" s="15">
        <v>95790.400000000023</v>
      </c>
    </row>
    <row r="108" spans="1:15" x14ac:dyDescent="0.3">
      <c r="A108" s="2" t="s">
        <v>116</v>
      </c>
      <c r="B108" s="1" t="s">
        <v>605</v>
      </c>
      <c r="C108" s="6" t="str">
        <f t="shared" si="1"/>
        <v>April</v>
      </c>
      <c r="D108" s="1" t="s">
        <v>787</v>
      </c>
      <c r="E108" s="1" t="s">
        <v>793</v>
      </c>
      <c r="F108" s="1" t="s">
        <v>796</v>
      </c>
      <c r="G108" s="1" t="s">
        <v>799</v>
      </c>
      <c r="H108" s="1" t="s">
        <v>804</v>
      </c>
      <c r="I108" s="10" t="s">
        <v>812</v>
      </c>
      <c r="J108" s="1" t="s">
        <v>816</v>
      </c>
      <c r="K108" s="24">
        <v>19</v>
      </c>
      <c r="L108" s="25">
        <v>8</v>
      </c>
      <c r="M108" s="16">
        <v>41220</v>
      </c>
      <c r="N108" s="16">
        <v>402307.2</v>
      </c>
      <c r="O108" s="15">
        <v>72547.200000000012</v>
      </c>
    </row>
    <row r="109" spans="1:15" x14ac:dyDescent="0.3">
      <c r="A109" s="2" t="s">
        <v>117</v>
      </c>
      <c r="B109" s="1" t="s">
        <v>606</v>
      </c>
      <c r="C109" s="6" t="str">
        <f t="shared" si="1"/>
        <v>June</v>
      </c>
      <c r="D109" s="1" t="s">
        <v>784</v>
      </c>
      <c r="E109" s="1" t="s">
        <v>790</v>
      </c>
      <c r="F109" s="1" t="s">
        <v>794</v>
      </c>
      <c r="G109" s="1" t="s">
        <v>801</v>
      </c>
      <c r="H109" s="1" t="s">
        <v>806</v>
      </c>
      <c r="I109" s="10" t="s">
        <v>813</v>
      </c>
      <c r="J109" s="1" t="s">
        <v>818</v>
      </c>
      <c r="K109" s="24">
        <v>49</v>
      </c>
      <c r="L109" s="25">
        <v>9</v>
      </c>
      <c r="M109" s="16">
        <v>1844</v>
      </c>
      <c r="N109" s="16">
        <v>19085.400000000001</v>
      </c>
      <c r="O109" s="15">
        <v>2489.4000000000015</v>
      </c>
    </row>
    <row r="110" spans="1:15" x14ac:dyDescent="0.3">
      <c r="A110" s="2" t="s">
        <v>118</v>
      </c>
      <c r="B110" s="1" t="s">
        <v>607</v>
      </c>
      <c r="C110" s="6" t="str">
        <f t="shared" si="1"/>
        <v>July</v>
      </c>
      <c r="D110" s="1" t="s">
        <v>786</v>
      </c>
      <c r="E110" s="1" t="s">
        <v>793</v>
      </c>
      <c r="F110" s="1" t="s">
        <v>794</v>
      </c>
      <c r="G110" s="1" t="s">
        <v>797</v>
      </c>
      <c r="H110" s="1" t="s">
        <v>808</v>
      </c>
      <c r="I110" s="10" t="s">
        <v>813</v>
      </c>
      <c r="J110" s="1" t="s">
        <v>818</v>
      </c>
      <c r="K110" s="24">
        <v>39</v>
      </c>
      <c r="L110" s="25">
        <v>1</v>
      </c>
      <c r="M110" s="16">
        <v>1250</v>
      </c>
      <c r="N110" s="16">
        <v>1437.5</v>
      </c>
      <c r="O110" s="15">
        <v>187.5</v>
      </c>
    </row>
    <row r="111" spans="1:15" x14ac:dyDescent="0.3">
      <c r="A111" s="2" t="s">
        <v>119</v>
      </c>
      <c r="B111" s="1" t="s">
        <v>537</v>
      </c>
      <c r="C111" s="6" t="str">
        <f t="shared" si="1"/>
        <v>July</v>
      </c>
      <c r="D111" s="1" t="s">
        <v>786</v>
      </c>
      <c r="E111" s="1" t="s">
        <v>791</v>
      </c>
      <c r="F111" s="1" t="s">
        <v>795</v>
      </c>
      <c r="G111" s="1" t="s">
        <v>803</v>
      </c>
      <c r="H111" s="1" t="s">
        <v>807</v>
      </c>
      <c r="I111" s="10" t="s">
        <v>811</v>
      </c>
      <c r="J111" s="1" t="s">
        <v>820</v>
      </c>
      <c r="K111" s="24">
        <v>55</v>
      </c>
      <c r="L111" s="25">
        <v>7</v>
      </c>
      <c r="M111" s="16">
        <v>18640</v>
      </c>
      <c r="N111" s="16">
        <v>155271.20000000001</v>
      </c>
      <c r="O111" s="15">
        <v>24791.200000000012</v>
      </c>
    </row>
    <row r="112" spans="1:15" x14ac:dyDescent="0.3">
      <c r="A112" s="2" t="s">
        <v>120</v>
      </c>
      <c r="B112" s="1" t="s">
        <v>527</v>
      </c>
      <c r="C112" s="6" t="str">
        <f t="shared" si="1"/>
        <v>February</v>
      </c>
      <c r="D112" s="1" t="s">
        <v>784</v>
      </c>
      <c r="E112" s="1" t="s">
        <v>791</v>
      </c>
      <c r="F112" s="1" t="s">
        <v>795</v>
      </c>
      <c r="G112" s="1" t="s">
        <v>803</v>
      </c>
      <c r="H112" s="1" t="s">
        <v>807</v>
      </c>
      <c r="I112" s="10" t="s">
        <v>811</v>
      </c>
      <c r="J112" s="1" t="s">
        <v>817</v>
      </c>
      <c r="K112" s="24">
        <v>98</v>
      </c>
      <c r="L112" s="25">
        <v>17</v>
      </c>
      <c r="M112" s="16">
        <v>36700</v>
      </c>
      <c r="N112" s="16">
        <v>742441</v>
      </c>
      <c r="O112" s="15">
        <v>118541</v>
      </c>
    </row>
    <row r="113" spans="1:15" x14ac:dyDescent="0.3">
      <c r="A113" s="2" t="s">
        <v>121</v>
      </c>
      <c r="B113" s="1" t="s">
        <v>608</v>
      </c>
      <c r="C113" s="6" t="str">
        <f t="shared" si="1"/>
        <v>August</v>
      </c>
      <c r="D113" s="1" t="s">
        <v>788</v>
      </c>
      <c r="E113" s="1" t="s">
        <v>793</v>
      </c>
      <c r="F113" s="1" t="s">
        <v>795</v>
      </c>
      <c r="G113" s="1" t="s">
        <v>798</v>
      </c>
      <c r="H113" s="1" t="s">
        <v>805</v>
      </c>
      <c r="I113" s="10" t="s">
        <v>811</v>
      </c>
      <c r="J113" s="1" t="s">
        <v>819</v>
      </c>
      <c r="K113" s="24">
        <v>14</v>
      </c>
      <c r="L113" s="25">
        <v>6</v>
      </c>
      <c r="M113" s="16">
        <v>2608</v>
      </c>
      <c r="N113" s="16">
        <v>18621.12</v>
      </c>
      <c r="O113" s="15">
        <v>2973.119999999999</v>
      </c>
    </row>
    <row r="114" spans="1:15" x14ac:dyDescent="0.3">
      <c r="A114" s="2" t="s">
        <v>122</v>
      </c>
      <c r="B114" s="1" t="s">
        <v>533</v>
      </c>
      <c r="C114" s="6" t="str">
        <f t="shared" si="1"/>
        <v>January</v>
      </c>
      <c r="D114" s="1" t="s">
        <v>788</v>
      </c>
      <c r="E114" s="1" t="s">
        <v>793</v>
      </c>
      <c r="F114" s="1" t="s">
        <v>796</v>
      </c>
      <c r="G114" s="1" t="s">
        <v>800</v>
      </c>
      <c r="H114" s="1" t="s">
        <v>810</v>
      </c>
      <c r="I114" s="10" t="s">
        <v>812</v>
      </c>
      <c r="J114" s="1" t="s">
        <v>816</v>
      </c>
      <c r="K114" s="24">
        <v>60</v>
      </c>
      <c r="L114" s="25">
        <v>13</v>
      </c>
      <c r="M114" s="16">
        <v>75800</v>
      </c>
      <c r="N114" s="16">
        <v>1202188</v>
      </c>
      <c r="O114" s="15">
        <v>216788</v>
      </c>
    </row>
    <row r="115" spans="1:15" x14ac:dyDescent="0.3">
      <c r="A115" s="2" t="s">
        <v>123</v>
      </c>
      <c r="B115" s="1" t="s">
        <v>579</v>
      </c>
      <c r="C115" s="6" t="str">
        <f t="shared" si="1"/>
        <v>August</v>
      </c>
      <c r="D115" s="1" t="s">
        <v>788</v>
      </c>
      <c r="E115" s="1" t="s">
        <v>790</v>
      </c>
      <c r="F115" s="1" t="s">
        <v>794</v>
      </c>
      <c r="G115" s="1" t="s">
        <v>801</v>
      </c>
      <c r="H115" s="1" t="s">
        <v>806</v>
      </c>
      <c r="I115" s="10" t="s">
        <v>813</v>
      </c>
      <c r="J115" s="1" t="s">
        <v>817</v>
      </c>
      <c r="K115" s="24">
        <v>39</v>
      </c>
      <c r="L115" s="25">
        <v>5</v>
      </c>
      <c r="M115" s="16">
        <v>3135</v>
      </c>
      <c r="N115" s="16">
        <v>18026.25</v>
      </c>
      <c r="O115" s="15">
        <v>2351.25</v>
      </c>
    </row>
    <row r="116" spans="1:15" x14ac:dyDescent="0.3">
      <c r="A116" s="2" t="s">
        <v>124</v>
      </c>
      <c r="B116" s="1" t="s">
        <v>519</v>
      </c>
      <c r="C116" s="6" t="str">
        <f t="shared" si="1"/>
        <v>November</v>
      </c>
      <c r="D116" s="1" t="s">
        <v>787</v>
      </c>
      <c r="E116" s="1" t="s">
        <v>790</v>
      </c>
      <c r="F116" s="1" t="s">
        <v>794</v>
      </c>
      <c r="G116" s="1" t="s">
        <v>797</v>
      </c>
      <c r="H116" s="1" t="s">
        <v>808</v>
      </c>
      <c r="I116" s="10" t="s">
        <v>815</v>
      </c>
      <c r="J116" s="1" t="s">
        <v>819</v>
      </c>
      <c r="K116" s="24">
        <v>27</v>
      </c>
      <c r="L116" s="25">
        <v>6</v>
      </c>
      <c r="M116" s="16">
        <v>4106</v>
      </c>
      <c r="N116" s="16">
        <v>28331.4</v>
      </c>
      <c r="O116" s="15">
        <v>3695.4000000000015</v>
      </c>
    </row>
    <row r="117" spans="1:15" x14ac:dyDescent="0.3">
      <c r="A117" s="2" t="s">
        <v>125</v>
      </c>
      <c r="B117" s="1" t="s">
        <v>512</v>
      </c>
      <c r="C117" s="6" t="str">
        <f t="shared" si="1"/>
        <v>May</v>
      </c>
      <c r="D117" s="1" t="s">
        <v>786</v>
      </c>
      <c r="E117" s="1" t="s">
        <v>790</v>
      </c>
      <c r="F117" s="1" t="s">
        <v>794</v>
      </c>
      <c r="G117" s="1" t="s">
        <v>801</v>
      </c>
      <c r="H117" s="1" t="s">
        <v>806</v>
      </c>
      <c r="I117" s="10" t="s">
        <v>813</v>
      </c>
      <c r="J117" s="1" t="s">
        <v>820</v>
      </c>
      <c r="K117" s="24">
        <v>66</v>
      </c>
      <c r="L117" s="25">
        <v>12</v>
      </c>
      <c r="M117" s="16">
        <v>2127</v>
      </c>
      <c r="N117" s="16">
        <v>29352.6</v>
      </c>
      <c r="O117" s="15">
        <v>3828.5999999999985</v>
      </c>
    </row>
    <row r="118" spans="1:15" x14ac:dyDescent="0.3">
      <c r="A118" s="2" t="s">
        <v>126</v>
      </c>
      <c r="B118" s="1" t="s">
        <v>609</v>
      </c>
      <c r="C118" s="6" t="str">
        <f t="shared" si="1"/>
        <v>February</v>
      </c>
      <c r="D118" s="1" t="s">
        <v>788</v>
      </c>
      <c r="E118" s="1" t="s">
        <v>790</v>
      </c>
      <c r="F118" s="1" t="s">
        <v>796</v>
      </c>
      <c r="G118" s="1" t="s">
        <v>799</v>
      </c>
      <c r="H118" s="1" t="s">
        <v>804</v>
      </c>
      <c r="I118" s="10" t="s">
        <v>814</v>
      </c>
      <c r="J118" s="1" t="s">
        <v>818</v>
      </c>
      <c r="K118" s="24">
        <v>11</v>
      </c>
      <c r="L118" s="25">
        <v>1</v>
      </c>
      <c r="M118" s="16">
        <v>25000</v>
      </c>
      <c r="N118" s="16">
        <v>30500</v>
      </c>
      <c r="O118" s="15">
        <v>5500</v>
      </c>
    </row>
    <row r="119" spans="1:15" x14ac:dyDescent="0.3">
      <c r="A119" s="2" t="s">
        <v>127</v>
      </c>
      <c r="B119" s="1" t="s">
        <v>610</v>
      </c>
      <c r="C119" s="6" t="str">
        <f t="shared" si="1"/>
        <v>May</v>
      </c>
      <c r="D119" s="1" t="s">
        <v>785</v>
      </c>
      <c r="E119" s="1" t="s">
        <v>791</v>
      </c>
      <c r="F119" s="1" t="s">
        <v>796</v>
      </c>
      <c r="G119" s="1" t="s">
        <v>800</v>
      </c>
      <c r="H119" s="1" t="s">
        <v>810</v>
      </c>
      <c r="I119" s="10" t="s">
        <v>812</v>
      </c>
      <c r="J119" s="1" t="s">
        <v>820</v>
      </c>
      <c r="K119" s="24">
        <v>88</v>
      </c>
      <c r="L119" s="25">
        <v>10</v>
      </c>
      <c r="M119" s="16">
        <v>147250</v>
      </c>
      <c r="N119" s="16">
        <v>1796450</v>
      </c>
      <c r="O119" s="15">
        <v>323950</v>
      </c>
    </row>
    <row r="120" spans="1:15" x14ac:dyDescent="0.3">
      <c r="A120" s="2" t="s">
        <v>128</v>
      </c>
      <c r="B120" s="1" t="s">
        <v>611</v>
      </c>
      <c r="C120" s="6" t="str">
        <f t="shared" si="1"/>
        <v>March</v>
      </c>
      <c r="D120" s="1" t="s">
        <v>787</v>
      </c>
      <c r="E120" s="1" t="s">
        <v>791</v>
      </c>
      <c r="F120" s="1" t="s">
        <v>794</v>
      </c>
      <c r="G120" s="1" t="s">
        <v>797</v>
      </c>
      <c r="H120" s="1" t="s">
        <v>808</v>
      </c>
      <c r="I120" s="10" t="s">
        <v>813</v>
      </c>
      <c r="J120" s="1" t="s">
        <v>819</v>
      </c>
      <c r="K120" s="24">
        <v>41</v>
      </c>
      <c r="L120" s="25">
        <v>12</v>
      </c>
      <c r="M120" s="16">
        <v>2594</v>
      </c>
      <c r="N120" s="16">
        <v>35797.199999999997</v>
      </c>
      <c r="O120" s="15">
        <v>4669.1999999999971</v>
      </c>
    </row>
    <row r="121" spans="1:15" x14ac:dyDescent="0.3">
      <c r="A121" s="2" t="s">
        <v>129</v>
      </c>
      <c r="B121" s="1" t="s">
        <v>549</v>
      </c>
      <c r="C121" s="6" t="str">
        <f t="shared" si="1"/>
        <v>May</v>
      </c>
      <c r="D121" s="1" t="s">
        <v>787</v>
      </c>
      <c r="E121" s="1" t="s">
        <v>792</v>
      </c>
      <c r="F121" s="1" t="s">
        <v>795</v>
      </c>
      <c r="G121" s="1" t="s">
        <v>798</v>
      </c>
      <c r="H121" s="1" t="s">
        <v>805</v>
      </c>
      <c r="I121" s="10" t="s">
        <v>811</v>
      </c>
      <c r="J121" s="1" t="s">
        <v>820</v>
      </c>
      <c r="K121" s="24">
        <v>55</v>
      </c>
      <c r="L121" s="25">
        <v>20</v>
      </c>
      <c r="M121" s="16">
        <v>1554</v>
      </c>
      <c r="N121" s="16">
        <v>36985.199999999997</v>
      </c>
      <c r="O121" s="15">
        <v>5905.1999999999971</v>
      </c>
    </row>
    <row r="122" spans="1:15" x14ac:dyDescent="0.3">
      <c r="A122" s="2" t="s">
        <v>130</v>
      </c>
      <c r="B122" s="1" t="s">
        <v>572</v>
      </c>
      <c r="C122" s="6" t="str">
        <f t="shared" si="1"/>
        <v>May</v>
      </c>
      <c r="D122" s="1" t="s">
        <v>785</v>
      </c>
      <c r="E122" s="1" t="s">
        <v>792</v>
      </c>
      <c r="F122" s="1" t="s">
        <v>794</v>
      </c>
      <c r="G122" s="1" t="s">
        <v>801</v>
      </c>
      <c r="H122" s="1" t="s">
        <v>806</v>
      </c>
      <c r="I122" s="10" t="s">
        <v>813</v>
      </c>
      <c r="J122" s="1" t="s">
        <v>820</v>
      </c>
      <c r="K122" s="24">
        <v>64</v>
      </c>
      <c r="L122" s="25">
        <v>8</v>
      </c>
      <c r="M122" s="16">
        <v>1150</v>
      </c>
      <c r="N122" s="16">
        <v>10580</v>
      </c>
      <c r="O122" s="15">
        <v>1380</v>
      </c>
    </row>
    <row r="123" spans="1:15" x14ac:dyDescent="0.3">
      <c r="A123" s="2" t="s">
        <v>131</v>
      </c>
      <c r="B123" s="1" t="s">
        <v>612</v>
      </c>
      <c r="C123" s="6" t="str">
        <f t="shared" si="1"/>
        <v>November</v>
      </c>
      <c r="D123" s="1" t="s">
        <v>786</v>
      </c>
      <c r="E123" s="1" t="s">
        <v>792</v>
      </c>
      <c r="F123" s="1" t="s">
        <v>796</v>
      </c>
      <c r="G123" s="1" t="s">
        <v>800</v>
      </c>
      <c r="H123" s="1" t="s">
        <v>810</v>
      </c>
      <c r="I123" s="10" t="s">
        <v>812</v>
      </c>
      <c r="J123" s="1" t="s">
        <v>817</v>
      </c>
      <c r="K123" s="24">
        <v>97</v>
      </c>
      <c r="L123" s="25">
        <v>7</v>
      </c>
      <c r="M123" s="16">
        <v>98260</v>
      </c>
      <c r="N123" s="16">
        <v>839140.4</v>
      </c>
      <c r="O123" s="15">
        <v>151320.40000000002</v>
      </c>
    </row>
    <row r="124" spans="1:15" x14ac:dyDescent="0.3">
      <c r="A124" s="2" t="s">
        <v>132</v>
      </c>
      <c r="B124" s="1" t="s">
        <v>613</v>
      </c>
      <c r="C124" s="6" t="str">
        <f t="shared" si="1"/>
        <v>November</v>
      </c>
      <c r="D124" s="1" t="s">
        <v>787</v>
      </c>
      <c r="E124" s="1" t="s">
        <v>790</v>
      </c>
      <c r="F124" s="1" t="s">
        <v>794</v>
      </c>
      <c r="G124" s="1" t="s">
        <v>801</v>
      </c>
      <c r="H124" s="1" t="s">
        <v>806</v>
      </c>
      <c r="I124" s="10" t="s">
        <v>813</v>
      </c>
      <c r="J124" s="1" t="s">
        <v>819</v>
      </c>
      <c r="K124" s="24">
        <v>8</v>
      </c>
      <c r="L124" s="25">
        <v>20</v>
      </c>
      <c r="M124" s="16">
        <v>2739</v>
      </c>
      <c r="N124" s="16">
        <v>62997</v>
      </c>
      <c r="O124" s="15">
        <v>8217</v>
      </c>
    </row>
    <row r="125" spans="1:15" x14ac:dyDescent="0.3">
      <c r="A125" s="2" t="s">
        <v>133</v>
      </c>
      <c r="B125" s="1" t="s">
        <v>614</v>
      </c>
      <c r="C125" s="6" t="str">
        <f t="shared" si="1"/>
        <v>July</v>
      </c>
      <c r="D125" s="1" t="s">
        <v>785</v>
      </c>
      <c r="E125" s="1" t="s">
        <v>791</v>
      </c>
      <c r="F125" s="1" t="s">
        <v>794</v>
      </c>
      <c r="G125" s="1" t="s">
        <v>801</v>
      </c>
      <c r="H125" s="1" t="s">
        <v>806</v>
      </c>
      <c r="I125" s="10" t="s">
        <v>813</v>
      </c>
      <c r="J125" s="1" t="s">
        <v>818</v>
      </c>
      <c r="K125" s="24">
        <v>14</v>
      </c>
      <c r="L125" s="25">
        <v>16</v>
      </c>
      <c r="M125" s="16">
        <v>650</v>
      </c>
      <c r="N125" s="16">
        <v>11960</v>
      </c>
      <c r="O125" s="15">
        <v>1560</v>
      </c>
    </row>
    <row r="126" spans="1:15" x14ac:dyDescent="0.3">
      <c r="A126" s="2" t="s">
        <v>134</v>
      </c>
      <c r="B126" s="1" t="s">
        <v>615</v>
      </c>
      <c r="C126" s="6" t="str">
        <f t="shared" si="1"/>
        <v>March</v>
      </c>
      <c r="D126" s="1" t="s">
        <v>785</v>
      </c>
      <c r="E126" s="1" t="s">
        <v>790</v>
      </c>
      <c r="F126" s="1" t="s">
        <v>796</v>
      </c>
      <c r="G126" s="1" t="s">
        <v>800</v>
      </c>
      <c r="H126" s="1" t="s">
        <v>810</v>
      </c>
      <c r="I126" s="10" t="s">
        <v>814</v>
      </c>
      <c r="J126" s="1" t="s">
        <v>819</v>
      </c>
      <c r="K126" s="24">
        <v>63</v>
      </c>
      <c r="L126" s="25">
        <v>16</v>
      </c>
      <c r="M126" s="16">
        <v>136230</v>
      </c>
      <c r="N126" s="16">
        <v>2659209.6</v>
      </c>
      <c r="O126" s="15">
        <v>479529.60000000009</v>
      </c>
    </row>
    <row r="127" spans="1:15" x14ac:dyDescent="0.3">
      <c r="A127" s="2" t="s">
        <v>135</v>
      </c>
      <c r="B127" s="1" t="s">
        <v>616</v>
      </c>
      <c r="C127" s="6" t="str">
        <f t="shared" si="1"/>
        <v>December</v>
      </c>
      <c r="D127" s="1" t="s">
        <v>786</v>
      </c>
      <c r="E127" s="1" t="s">
        <v>792</v>
      </c>
      <c r="F127" s="1" t="s">
        <v>795</v>
      </c>
      <c r="G127" s="1" t="s">
        <v>803</v>
      </c>
      <c r="H127" s="1" t="s">
        <v>807</v>
      </c>
      <c r="I127" s="10" t="s">
        <v>811</v>
      </c>
      <c r="J127" s="1" t="s">
        <v>817</v>
      </c>
      <c r="K127" s="24">
        <v>66</v>
      </c>
      <c r="L127" s="25">
        <v>13</v>
      </c>
      <c r="M127" s="16">
        <v>13040</v>
      </c>
      <c r="N127" s="16">
        <v>201728.8</v>
      </c>
      <c r="O127" s="15">
        <v>32208.799999999988</v>
      </c>
    </row>
    <row r="128" spans="1:15" x14ac:dyDescent="0.3">
      <c r="A128" s="2" t="s">
        <v>136</v>
      </c>
      <c r="B128" s="1" t="s">
        <v>617</v>
      </c>
      <c r="C128" s="6" t="str">
        <f t="shared" si="1"/>
        <v>February</v>
      </c>
      <c r="D128" s="1" t="s">
        <v>786</v>
      </c>
      <c r="E128" s="1" t="s">
        <v>791</v>
      </c>
      <c r="F128" s="1" t="s">
        <v>794</v>
      </c>
      <c r="G128" s="1" t="s">
        <v>801</v>
      </c>
      <c r="H128" s="1" t="s">
        <v>806</v>
      </c>
      <c r="I128" s="10" t="s">
        <v>813</v>
      </c>
      <c r="J128" s="1" t="s">
        <v>816</v>
      </c>
      <c r="K128" s="24">
        <v>99</v>
      </c>
      <c r="L128" s="25">
        <v>15</v>
      </c>
      <c r="M128" s="16">
        <v>1524</v>
      </c>
      <c r="N128" s="16">
        <v>26289</v>
      </c>
      <c r="O128" s="15">
        <v>3429</v>
      </c>
    </row>
    <row r="129" spans="1:15" x14ac:dyDescent="0.3">
      <c r="A129" s="2" t="s">
        <v>137</v>
      </c>
      <c r="B129" s="1" t="s">
        <v>618</v>
      </c>
      <c r="C129" s="6" t="str">
        <f t="shared" si="1"/>
        <v>September</v>
      </c>
      <c r="D129" s="1" t="s">
        <v>784</v>
      </c>
      <c r="E129" s="1" t="s">
        <v>791</v>
      </c>
      <c r="F129" s="1" t="s">
        <v>794</v>
      </c>
      <c r="G129" s="1" t="s">
        <v>797</v>
      </c>
      <c r="H129" s="1" t="s">
        <v>808</v>
      </c>
      <c r="I129" s="10" t="s">
        <v>815</v>
      </c>
      <c r="J129" s="1" t="s">
        <v>818</v>
      </c>
      <c r="K129" s="24">
        <v>22</v>
      </c>
      <c r="L129" s="25">
        <v>2</v>
      </c>
      <c r="M129" s="16">
        <v>4417</v>
      </c>
      <c r="N129" s="16">
        <v>10159.1</v>
      </c>
      <c r="O129" s="15">
        <v>1325.1000000000004</v>
      </c>
    </row>
    <row r="130" spans="1:15" x14ac:dyDescent="0.3">
      <c r="A130" s="2" t="s">
        <v>138</v>
      </c>
      <c r="B130" s="1" t="s">
        <v>619</v>
      </c>
      <c r="C130" s="6" t="str">
        <f t="shared" si="1"/>
        <v>February</v>
      </c>
      <c r="D130" s="1" t="s">
        <v>788</v>
      </c>
      <c r="E130" s="1" t="s">
        <v>790</v>
      </c>
      <c r="F130" s="1" t="s">
        <v>796</v>
      </c>
      <c r="G130" s="1" t="s">
        <v>800</v>
      </c>
      <c r="H130" s="1" t="s">
        <v>810</v>
      </c>
      <c r="I130" s="10" t="s">
        <v>812</v>
      </c>
      <c r="J130" s="1" t="s">
        <v>818</v>
      </c>
      <c r="K130" s="24">
        <v>100</v>
      </c>
      <c r="L130" s="25">
        <v>12</v>
      </c>
      <c r="M130" s="16">
        <v>145260</v>
      </c>
      <c r="N130" s="16">
        <v>2126606.4</v>
      </c>
      <c r="O130" s="15">
        <v>383486.39999999991</v>
      </c>
    </row>
    <row r="131" spans="1:15" x14ac:dyDescent="0.3">
      <c r="A131" s="2" t="s">
        <v>139</v>
      </c>
      <c r="B131" s="1" t="s">
        <v>620</v>
      </c>
      <c r="C131" s="6" t="str">
        <f t="shared" ref="C131:C194" si="2">TEXT(B131, "mmmm")</f>
        <v>July</v>
      </c>
      <c r="D131" s="1" t="s">
        <v>789</v>
      </c>
      <c r="E131" s="1" t="s">
        <v>792</v>
      </c>
      <c r="F131" s="1" t="s">
        <v>794</v>
      </c>
      <c r="G131" s="1" t="s">
        <v>797</v>
      </c>
      <c r="H131" s="1" t="s">
        <v>808</v>
      </c>
      <c r="I131" s="10" t="s">
        <v>813</v>
      </c>
      <c r="J131" s="1" t="s">
        <v>818</v>
      </c>
      <c r="K131" s="24">
        <v>91</v>
      </c>
      <c r="L131" s="25">
        <v>12</v>
      </c>
      <c r="M131" s="16">
        <v>3109</v>
      </c>
      <c r="N131" s="16">
        <v>42904.2</v>
      </c>
      <c r="O131" s="15">
        <v>5596.1999999999971</v>
      </c>
    </row>
    <row r="132" spans="1:15" x14ac:dyDescent="0.3">
      <c r="A132" s="2" t="s">
        <v>140</v>
      </c>
      <c r="B132" s="1" t="s">
        <v>621</v>
      </c>
      <c r="C132" s="6" t="str">
        <f t="shared" si="2"/>
        <v>November</v>
      </c>
      <c r="D132" s="1" t="s">
        <v>789</v>
      </c>
      <c r="E132" s="1" t="s">
        <v>792</v>
      </c>
      <c r="F132" s="1" t="s">
        <v>794</v>
      </c>
      <c r="G132" s="1" t="s">
        <v>797</v>
      </c>
      <c r="H132" s="1" t="s">
        <v>808</v>
      </c>
      <c r="I132" s="10" t="s">
        <v>815</v>
      </c>
      <c r="J132" s="1" t="s">
        <v>820</v>
      </c>
      <c r="K132" s="24">
        <v>20</v>
      </c>
      <c r="L132" s="25">
        <v>6</v>
      </c>
      <c r="M132" s="16">
        <v>1150</v>
      </c>
      <c r="N132" s="16">
        <v>7935</v>
      </c>
      <c r="O132" s="15">
        <v>1035</v>
      </c>
    </row>
    <row r="133" spans="1:15" x14ac:dyDescent="0.3">
      <c r="A133" s="2" t="s">
        <v>141</v>
      </c>
      <c r="B133" s="1" t="s">
        <v>605</v>
      </c>
      <c r="C133" s="6" t="str">
        <f t="shared" si="2"/>
        <v>April</v>
      </c>
      <c r="D133" s="1" t="s">
        <v>787</v>
      </c>
      <c r="E133" s="1" t="s">
        <v>792</v>
      </c>
      <c r="F133" s="1" t="s">
        <v>794</v>
      </c>
      <c r="G133" s="1" t="s">
        <v>797</v>
      </c>
      <c r="H133" s="1" t="s">
        <v>808</v>
      </c>
      <c r="I133" s="10" t="s">
        <v>813</v>
      </c>
      <c r="J133" s="1" t="s">
        <v>820</v>
      </c>
      <c r="K133" s="24">
        <v>56</v>
      </c>
      <c r="L133" s="25">
        <v>17</v>
      </c>
      <c r="M133" s="16">
        <v>1350</v>
      </c>
      <c r="N133" s="16">
        <v>26392.5</v>
      </c>
      <c r="O133" s="15">
        <v>3442.5</v>
      </c>
    </row>
    <row r="134" spans="1:15" x14ac:dyDescent="0.3">
      <c r="A134" s="2" t="s">
        <v>142</v>
      </c>
      <c r="B134" s="1" t="s">
        <v>622</v>
      </c>
      <c r="C134" s="6" t="str">
        <f t="shared" si="2"/>
        <v>May</v>
      </c>
      <c r="D134" s="1" t="s">
        <v>784</v>
      </c>
      <c r="E134" s="1" t="s">
        <v>793</v>
      </c>
      <c r="F134" s="1" t="s">
        <v>796</v>
      </c>
      <c r="G134" s="1" t="s">
        <v>799</v>
      </c>
      <c r="H134" s="1" t="s">
        <v>804</v>
      </c>
      <c r="I134" s="10" t="s">
        <v>812</v>
      </c>
      <c r="J134" s="1" t="s">
        <v>817</v>
      </c>
      <c r="K134" s="24">
        <v>60</v>
      </c>
      <c r="L134" s="25">
        <v>5</v>
      </c>
      <c r="M134" s="16">
        <v>48300</v>
      </c>
      <c r="N134" s="16">
        <v>294630</v>
      </c>
      <c r="O134" s="15">
        <v>53130</v>
      </c>
    </row>
    <row r="135" spans="1:15" x14ac:dyDescent="0.3">
      <c r="A135" s="2" t="s">
        <v>143</v>
      </c>
      <c r="B135" s="1" t="s">
        <v>623</v>
      </c>
      <c r="C135" s="6" t="str">
        <f t="shared" si="2"/>
        <v>April</v>
      </c>
      <c r="D135" s="1" t="s">
        <v>787</v>
      </c>
      <c r="E135" s="1" t="s">
        <v>792</v>
      </c>
      <c r="F135" s="1" t="s">
        <v>794</v>
      </c>
      <c r="G135" s="1" t="s">
        <v>801</v>
      </c>
      <c r="H135" s="1" t="s">
        <v>806</v>
      </c>
      <c r="I135" s="10" t="s">
        <v>815</v>
      </c>
      <c r="J135" s="1" t="s">
        <v>818</v>
      </c>
      <c r="K135" s="24">
        <v>30</v>
      </c>
      <c r="L135" s="25">
        <v>13</v>
      </c>
      <c r="M135" s="16">
        <v>2097</v>
      </c>
      <c r="N135" s="16">
        <v>31350.15</v>
      </c>
      <c r="O135" s="15">
        <v>4089.1500000000015</v>
      </c>
    </row>
    <row r="136" spans="1:15" x14ac:dyDescent="0.3">
      <c r="A136" s="2" t="s">
        <v>144</v>
      </c>
      <c r="B136" s="1" t="s">
        <v>624</v>
      </c>
      <c r="C136" s="6" t="str">
        <f t="shared" si="2"/>
        <v>December</v>
      </c>
      <c r="D136" s="1" t="s">
        <v>785</v>
      </c>
      <c r="E136" s="1" t="s">
        <v>793</v>
      </c>
      <c r="F136" s="1" t="s">
        <v>794</v>
      </c>
      <c r="G136" s="1" t="s">
        <v>801</v>
      </c>
      <c r="H136" s="1" t="s">
        <v>806</v>
      </c>
      <c r="I136" s="10" t="s">
        <v>815</v>
      </c>
      <c r="J136" s="1" t="s">
        <v>816</v>
      </c>
      <c r="K136" s="24">
        <v>30</v>
      </c>
      <c r="L136" s="25">
        <v>13</v>
      </c>
      <c r="M136" s="16">
        <v>2720</v>
      </c>
      <c r="N136" s="16">
        <v>40664</v>
      </c>
      <c r="O136" s="15">
        <v>5304</v>
      </c>
    </row>
    <row r="137" spans="1:15" x14ac:dyDescent="0.3">
      <c r="A137" s="2" t="s">
        <v>145</v>
      </c>
      <c r="B137" s="1" t="s">
        <v>580</v>
      </c>
      <c r="C137" s="6" t="str">
        <f t="shared" si="2"/>
        <v>January</v>
      </c>
      <c r="D137" s="1" t="s">
        <v>787</v>
      </c>
      <c r="E137" s="1" t="s">
        <v>793</v>
      </c>
      <c r="F137" s="1" t="s">
        <v>796</v>
      </c>
      <c r="G137" s="1" t="s">
        <v>799</v>
      </c>
      <c r="H137" s="1" t="s">
        <v>804</v>
      </c>
      <c r="I137" s="10" t="s">
        <v>812</v>
      </c>
      <c r="J137" s="1" t="s">
        <v>818</v>
      </c>
      <c r="K137" s="24">
        <v>69</v>
      </c>
      <c r="L137" s="25">
        <v>19</v>
      </c>
      <c r="M137" s="16">
        <v>65470</v>
      </c>
      <c r="N137" s="16">
        <v>1517594.6</v>
      </c>
      <c r="O137" s="15">
        <v>273664.60000000009</v>
      </c>
    </row>
    <row r="138" spans="1:15" x14ac:dyDescent="0.3">
      <c r="A138" s="2" t="s">
        <v>146</v>
      </c>
      <c r="B138" s="1" t="s">
        <v>625</v>
      </c>
      <c r="C138" s="6" t="str">
        <f t="shared" si="2"/>
        <v>June</v>
      </c>
      <c r="D138" s="1" t="s">
        <v>786</v>
      </c>
      <c r="E138" s="1" t="s">
        <v>792</v>
      </c>
      <c r="F138" s="1" t="s">
        <v>796</v>
      </c>
      <c r="G138" s="1" t="s">
        <v>800</v>
      </c>
      <c r="H138" s="1" t="s">
        <v>810</v>
      </c>
      <c r="I138" s="10" t="s">
        <v>812</v>
      </c>
      <c r="J138" s="1" t="s">
        <v>816</v>
      </c>
      <c r="K138" s="24">
        <v>98</v>
      </c>
      <c r="L138" s="25">
        <v>13</v>
      </c>
      <c r="M138" s="16">
        <v>65200</v>
      </c>
      <c r="N138" s="16">
        <v>1034072</v>
      </c>
      <c r="O138" s="15">
        <v>186472</v>
      </c>
    </row>
    <row r="139" spans="1:15" x14ac:dyDescent="0.3">
      <c r="A139" s="2" t="s">
        <v>147</v>
      </c>
      <c r="B139" s="1" t="s">
        <v>626</v>
      </c>
      <c r="C139" s="6" t="str">
        <f t="shared" si="2"/>
        <v>June</v>
      </c>
      <c r="D139" s="1" t="s">
        <v>786</v>
      </c>
      <c r="E139" s="1" t="s">
        <v>790</v>
      </c>
      <c r="F139" s="1" t="s">
        <v>794</v>
      </c>
      <c r="G139" s="1" t="s">
        <v>801</v>
      </c>
      <c r="H139" s="1" t="s">
        <v>806</v>
      </c>
      <c r="I139" s="10" t="s">
        <v>815</v>
      </c>
      <c r="J139" s="1" t="s">
        <v>819</v>
      </c>
      <c r="K139" s="24">
        <v>100</v>
      </c>
      <c r="L139" s="25">
        <v>14</v>
      </c>
      <c r="M139" s="16">
        <v>3265</v>
      </c>
      <c r="N139" s="16">
        <v>52566.5</v>
      </c>
      <c r="O139" s="15">
        <v>6856.5</v>
      </c>
    </row>
    <row r="140" spans="1:15" x14ac:dyDescent="0.3">
      <c r="A140" s="2" t="s">
        <v>148</v>
      </c>
      <c r="B140" s="1" t="s">
        <v>557</v>
      </c>
      <c r="C140" s="6" t="str">
        <f t="shared" si="2"/>
        <v>August</v>
      </c>
      <c r="D140" s="1" t="s">
        <v>784</v>
      </c>
      <c r="E140" s="1" t="s">
        <v>791</v>
      </c>
      <c r="F140" s="1" t="s">
        <v>796</v>
      </c>
      <c r="G140" s="1" t="s">
        <v>800</v>
      </c>
      <c r="H140" s="1" t="s">
        <v>810</v>
      </c>
      <c r="I140" s="10" t="s">
        <v>812</v>
      </c>
      <c r="J140" s="1" t="s">
        <v>816</v>
      </c>
      <c r="K140" s="24">
        <v>63</v>
      </c>
      <c r="L140" s="25">
        <v>9</v>
      </c>
      <c r="M140" s="16">
        <v>141260</v>
      </c>
      <c r="N140" s="16">
        <v>1551034.8</v>
      </c>
      <c r="O140" s="15">
        <v>279694.80000000005</v>
      </c>
    </row>
    <row r="141" spans="1:15" x14ac:dyDescent="0.3">
      <c r="A141" s="2" t="s">
        <v>149</v>
      </c>
      <c r="B141" s="1" t="s">
        <v>589</v>
      </c>
      <c r="C141" s="6" t="str">
        <f t="shared" si="2"/>
        <v>September</v>
      </c>
      <c r="D141" s="1" t="s">
        <v>789</v>
      </c>
      <c r="E141" s="1" t="s">
        <v>792</v>
      </c>
      <c r="F141" s="1" t="s">
        <v>794</v>
      </c>
      <c r="G141" s="1" t="s">
        <v>801</v>
      </c>
      <c r="H141" s="1" t="s">
        <v>806</v>
      </c>
      <c r="I141" s="10" t="s">
        <v>815</v>
      </c>
      <c r="J141" s="1" t="s">
        <v>820</v>
      </c>
      <c r="K141" s="24">
        <v>20</v>
      </c>
      <c r="L141" s="25">
        <v>13</v>
      </c>
      <c r="M141" s="16">
        <v>1761</v>
      </c>
      <c r="N141" s="16">
        <v>26326.95</v>
      </c>
      <c r="O141" s="15">
        <v>3433.9500000000007</v>
      </c>
    </row>
    <row r="142" spans="1:15" x14ac:dyDescent="0.3">
      <c r="A142" s="2" t="s">
        <v>150</v>
      </c>
      <c r="B142" s="1" t="s">
        <v>540</v>
      </c>
      <c r="C142" s="6" t="str">
        <f t="shared" si="2"/>
        <v>March</v>
      </c>
      <c r="D142" s="1" t="s">
        <v>784</v>
      </c>
      <c r="E142" s="1" t="s">
        <v>792</v>
      </c>
      <c r="F142" s="1" t="s">
        <v>795</v>
      </c>
      <c r="G142" s="1" t="s">
        <v>798</v>
      </c>
      <c r="H142" s="1" t="s">
        <v>805</v>
      </c>
      <c r="I142" s="10" t="s">
        <v>811</v>
      </c>
      <c r="J142" s="1" t="s">
        <v>817</v>
      </c>
      <c r="K142" s="24">
        <v>19</v>
      </c>
      <c r="L142" s="25">
        <v>11</v>
      </c>
      <c r="M142" s="16">
        <v>4536</v>
      </c>
      <c r="N142" s="16">
        <v>59376.24</v>
      </c>
      <c r="O142" s="15">
        <v>9480.239999999998</v>
      </c>
    </row>
    <row r="143" spans="1:15" x14ac:dyDescent="0.3">
      <c r="A143" s="2" t="s">
        <v>151</v>
      </c>
      <c r="B143" s="1" t="s">
        <v>627</v>
      </c>
      <c r="C143" s="6" t="str">
        <f t="shared" si="2"/>
        <v>July</v>
      </c>
      <c r="D143" s="1" t="s">
        <v>788</v>
      </c>
      <c r="E143" s="1" t="s">
        <v>790</v>
      </c>
      <c r="F143" s="1" t="s">
        <v>796</v>
      </c>
      <c r="G143" s="1" t="s">
        <v>799</v>
      </c>
      <c r="H143" s="1" t="s">
        <v>804</v>
      </c>
      <c r="I143" s="10" t="s">
        <v>812</v>
      </c>
      <c r="J143" s="1" t="s">
        <v>816</v>
      </c>
      <c r="K143" s="24">
        <v>65</v>
      </c>
      <c r="L143" s="25">
        <v>6</v>
      </c>
      <c r="M143" s="16">
        <v>34920</v>
      </c>
      <c r="N143" s="16">
        <v>255614.4</v>
      </c>
      <c r="O143" s="15">
        <v>46094.399999999994</v>
      </c>
    </row>
    <row r="144" spans="1:15" x14ac:dyDescent="0.3">
      <c r="A144" s="2" t="s">
        <v>152</v>
      </c>
      <c r="B144" s="1" t="s">
        <v>628</v>
      </c>
      <c r="C144" s="6" t="str">
        <f t="shared" si="2"/>
        <v>June</v>
      </c>
      <c r="D144" s="1" t="s">
        <v>787</v>
      </c>
      <c r="E144" s="1" t="s">
        <v>792</v>
      </c>
      <c r="F144" s="1" t="s">
        <v>796</v>
      </c>
      <c r="G144" s="1" t="s">
        <v>799</v>
      </c>
      <c r="H144" s="1" t="s">
        <v>804</v>
      </c>
      <c r="I144" s="10" t="s">
        <v>812</v>
      </c>
      <c r="J144" s="1" t="s">
        <v>818</v>
      </c>
      <c r="K144" s="24">
        <v>14</v>
      </c>
      <c r="L144" s="25">
        <v>5</v>
      </c>
      <c r="M144" s="16">
        <v>39450</v>
      </c>
      <c r="N144" s="16">
        <v>240645</v>
      </c>
      <c r="O144" s="15">
        <v>43395</v>
      </c>
    </row>
    <row r="145" spans="1:15" x14ac:dyDescent="0.3">
      <c r="A145" s="2" t="s">
        <v>153</v>
      </c>
      <c r="B145" s="1" t="s">
        <v>618</v>
      </c>
      <c r="C145" s="6" t="str">
        <f t="shared" si="2"/>
        <v>September</v>
      </c>
      <c r="D145" s="1" t="s">
        <v>784</v>
      </c>
      <c r="E145" s="1" t="s">
        <v>791</v>
      </c>
      <c r="F145" s="1" t="s">
        <v>794</v>
      </c>
      <c r="G145" s="1" t="s">
        <v>801</v>
      </c>
      <c r="H145" s="1" t="s">
        <v>806</v>
      </c>
      <c r="I145" s="10" t="s">
        <v>813</v>
      </c>
      <c r="J145" s="1" t="s">
        <v>819</v>
      </c>
      <c r="K145" s="24">
        <v>11</v>
      </c>
      <c r="L145" s="25">
        <v>2</v>
      </c>
      <c r="M145" s="16">
        <v>1888</v>
      </c>
      <c r="N145" s="16">
        <v>4342.3999999999996</v>
      </c>
      <c r="O145" s="15">
        <v>566.39999999999964</v>
      </c>
    </row>
    <row r="146" spans="1:15" x14ac:dyDescent="0.3">
      <c r="A146" s="2" t="s">
        <v>154</v>
      </c>
      <c r="B146" s="1" t="s">
        <v>516</v>
      </c>
      <c r="C146" s="6" t="str">
        <f t="shared" si="2"/>
        <v>July</v>
      </c>
      <c r="D146" s="1" t="s">
        <v>787</v>
      </c>
      <c r="E146" s="1" t="s">
        <v>793</v>
      </c>
      <c r="F146" s="1" t="s">
        <v>796</v>
      </c>
      <c r="G146" s="1" t="s">
        <v>802</v>
      </c>
      <c r="H146" s="1" t="s">
        <v>809</v>
      </c>
      <c r="I146" s="10" t="s">
        <v>812</v>
      </c>
      <c r="J146" s="1" t="s">
        <v>819</v>
      </c>
      <c r="K146" s="24">
        <v>64</v>
      </c>
      <c r="L146" s="25">
        <v>5</v>
      </c>
      <c r="M146" s="16">
        <v>32830</v>
      </c>
      <c r="N146" s="16">
        <v>200263</v>
      </c>
      <c r="O146" s="15">
        <v>36113</v>
      </c>
    </row>
    <row r="147" spans="1:15" x14ac:dyDescent="0.3">
      <c r="A147" s="2" t="s">
        <v>155</v>
      </c>
      <c r="B147" s="1" t="s">
        <v>585</v>
      </c>
      <c r="C147" s="6" t="str">
        <f t="shared" si="2"/>
        <v>September</v>
      </c>
      <c r="D147" s="1" t="s">
        <v>788</v>
      </c>
      <c r="E147" s="1" t="s">
        <v>792</v>
      </c>
      <c r="F147" s="1" t="s">
        <v>795</v>
      </c>
      <c r="G147" s="1" t="s">
        <v>803</v>
      </c>
      <c r="H147" s="1" t="s">
        <v>807</v>
      </c>
      <c r="I147" s="10" t="s">
        <v>811</v>
      </c>
      <c r="J147" s="1" t="s">
        <v>818</v>
      </c>
      <c r="K147" s="24">
        <v>38</v>
      </c>
      <c r="L147" s="25">
        <v>16</v>
      </c>
      <c r="M147" s="16">
        <v>39700</v>
      </c>
      <c r="N147" s="16">
        <v>755888</v>
      </c>
      <c r="O147" s="15">
        <v>120688</v>
      </c>
    </row>
    <row r="148" spans="1:15" x14ac:dyDescent="0.3">
      <c r="A148" s="2" t="s">
        <v>156</v>
      </c>
      <c r="B148" s="1" t="s">
        <v>629</v>
      </c>
      <c r="C148" s="6" t="str">
        <f t="shared" si="2"/>
        <v>May</v>
      </c>
      <c r="D148" s="1" t="s">
        <v>789</v>
      </c>
      <c r="E148" s="1" t="s">
        <v>793</v>
      </c>
      <c r="F148" s="1" t="s">
        <v>796</v>
      </c>
      <c r="G148" s="1" t="s">
        <v>799</v>
      </c>
      <c r="H148" s="1" t="s">
        <v>804</v>
      </c>
      <c r="I148" s="10" t="s">
        <v>812</v>
      </c>
      <c r="J148" s="1" t="s">
        <v>819</v>
      </c>
      <c r="K148" s="24">
        <v>6</v>
      </c>
      <c r="L148" s="25">
        <v>9</v>
      </c>
      <c r="M148" s="16">
        <v>24580</v>
      </c>
      <c r="N148" s="16">
        <v>269888.40000000002</v>
      </c>
      <c r="O148" s="15">
        <v>48668.400000000023</v>
      </c>
    </row>
    <row r="149" spans="1:15" x14ac:dyDescent="0.3">
      <c r="A149" s="2" t="s">
        <v>157</v>
      </c>
      <c r="B149" s="1" t="s">
        <v>630</v>
      </c>
      <c r="C149" s="6" t="str">
        <f t="shared" si="2"/>
        <v>May</v>
      </c>
      <c r="D149" s="1" t="s">
        <v>786</v>
      </c>
      <c r="E149" s="1" t="s">
        <v>790</v>
      </c>
      <c r="F149" s="1" t="s">
        <v>795</v>
      </c>
      <c r="G149" s="1" t="s">
        <v>798</v>
      </c>
      <c r="H149" s="1" t="s">
        <v>805</v>
      </c>
      <c r="I149" s="10" t="s">
        <v>811</v>
      </c>
      <c r="J149" s="1" t="s">
        <v>817</v>
      </c>
      <c r="K149" s="24">
        <v>94</v>
      </c>
      <c r="L149" s="25">
        <v>7</v>
      </c>
      <c r="M149" s="16">
        <v>4767</v>
      </c>
      <c r="N149" s="16">
        <v>39709.11</v>
      </c>
      <c r="O149" s="15">
        <v>6340.1100000000006</v>
      </c>
    </row>
    <row r="150" spans="1:15" x14ac:dyDescent="0.3">
      <c r="A150" s="2" t="s">
        <v>158</v>
      </c>
      <c r="B150" s="1" t="s">
        <v>631</v>
      </c>
      <c r="C150" s="6" t="str">
        <f t="shared" si="2"/>
        <v>March</v>
      </c>
      <c r="D150" s="1" t="s">
        <v>785</v>
      </c>
      <c r="E150" s="1" t="s">
        <v>791</v>
      </c>
      <c r="F150" s="1" t="s">
        <v>796</v>
      </c>
      <c r="G150" s="1" t="s">
        <v>799</v>
      </c>
      <c r="H150" s="1" t="s">
        <v>804</v>
      </c>
      <c r="I150" s="10" t="s">
        <v>812</v>
      </c>
      <c r="J150" s="1" t="s">
        <v>819</v>
      </c>
      <c r="K150" s="24">
        <v>16</v>
      </c>
      <c r="L150" s="25">
        <v>14</v>
      </c>
      <c r="M150" s="16">
        <v>37290</v>
      </c>
      <c r="N150" s="16">
        <v>636913.19999999995</v>
      </c>
      <c r="O150" s="15">
        <v>114853.19999999995</v>
      </c>
    </row>
    <row r="151" spans="1:15" x14ac:dyDescent="0.3">
      <c r="A151" s="2" t="s">
        <v>159</v>
      </c>
      <c r="B151" s="1" t="s">
        <v>632</v>
      </c>
      <c r="C151" s="6" t="str">
        <f t="shared" si="2"/>
        <v>August</v>
      </c>
      <c r="D151" s="1" t="s">
        <v>786</v>
      </c>
      <c r="E151" s="1" t="s">
        <v>791</v>
      </c>
      <c r="F151" s="1" t="s">
        <v>795</v>
      </c>
      <c r="G151" s="1" t="s">
        <v>798</v>
      </c>
      <c r="H151" s="1" t="s">
        <v>805</v>
      </c>
      <c r="I151" s="10" t="s">
        <v>811</v>
      </c>
      <c r="J151" s="1" t="s">
        <v>819</v>
      </c>
      <c r="K151" s="24">
        <v>41</v>
      </c>
      <c r="L151" s="25">
        <v>8</v>
      </c>
      <c r="M151" s="16">
        <v>1712</v>
      </c>
      <c r="N151" s="16">
        <v>16298.24</v>
      </c>
      <c r="O151" s="15">
        <v>2602.2399999999998</v>
      </c>
    </row>
    <row r="152" spans="1:15" x14ac:dyDescent="0.3">
      <c r="A152" s="2" t="s">
        <v>160</v>
      </c>
      <c r="B152" s="1" t="s">
        <v>633</v>
      </c>
      <c r="C152" s="6" t="str">
        <f t="shared" si="2"/>
        <v>March</v>
      </c>
      <c r="D152" s="1" t="s">
        <v>788</v>
      </c>
      <c r="E152" s="1" t="s">
        <v>790</v>
      </c>
      <c r="F152" s="1" t="s">
        <v>796</v>
      </c>
      <c r="G152" s="1" t="s">
        <v>799</v>
      </c>
      <c r="H152" s="1" t="s">
        <v>804</v>
      </c>
      <c r="I152" s="10" t="s">
        <v>812</v>
      </c>
      <c r="J152" s="1" t="s">
        <v>818</v>
      </c>
      <c r="K152" s="24">
        <v>10</v>
      </c>
      <c r="L152" s="25">
        <v>10</v>
      </c>
      <c r="M152" s="16">
        <v>32270</v>
      </c>
      <c r="N152" s="16">
        <v>393694</v>
      </c>
      <c r="O152" s="15">
        <v>70994</v>
      </c>
    </row>
    <row r="153" spans="1:15" x14ac:dyDescent="0.3">
      <c r="A153" s="2" t="s">
        <v>161</v>
      </c>
      <c r="B153" s="1" t="s">
        <v>634</v>
      </c>
      <c r="C153" s="6" t="str">
        <f t="shared" si="2"/>
        <v>May</v>
      </c>
      <c r="D153" s="1" t="s">
        <v>788</v>
      </c>
      <c r="E153" s="1" t="s">
        <v>793</v>
      </c>
      <c r="F153" s="1" t="s">
        <v>796</v>
      </c>
      <c r="G153" s="1" t="s">
        <v>800</v>
      </c>
      <c r="H153" s="1" t="s">
        <v>810</v>
      </c>
      <c r="I153" s="10" t="s">
        <v>812</v>
      </c>
      <c r="J153" s="1" t="s">
        <v>816</v>
      </c>
      <c r="K153" s="24">
        <v>89</v>
      </c>
      <c r="L153" s="25">
        <v>1</v>
      </c>
      <c r="M153" s="16">
        <v>145800</v>
      </c>
      <c r="N153" s="16">
        <v>177876</v>
      </c>
      <c r="O153" s="15">
        <v>32076</v>
      </c>
    </row>
    <row r="154" spans="1:15" x14ac:dyDescent="0.3">
      <c r="A154" s="2" t="s">
        <v>162</v>
      </c>
      <c r="B154" s="1" t="s">
        <v>635</v>
      </c>
      <c r="C154" s="6" t="str">
        <f t="shared" si="2"/>
        <v>July</v>
      </c>
      <c r="D154" s="1" t="s">
        <v>788</v>
      </c>
      <c r="E154" s="1" t="s">
        <v>791</v>
      </c>
      <c r="F154" s="1" t="s">
        <v>795</v>
      </c>
      <c r="G154" s="1" t="s">
        <v>803</v>
      </c>
      <c r="H154" s="1" t="s">
        <v>807</v>
      </c>
      <c r="I154" s="10" t="s">
        <v>811</v>
      </c>
      <c r="J154" s="1" t="s">
        <v>816</v>
      </c>
      <c r="K154" s="24">
        <v>35</v>
      </c>
      <c r="L154" s="25">
        <v>9</v>
      </c>
      <c r="M154" s="16">
        <v>25660</v>
      </c>
      <c r="N154" s="16">
        <v>274818.59999999998</v>
      </c>
      <c r="O154" s="15">
        <v>43878.599999999977</v>
      </c>
    </row>
    <row r="155" spans="1:15" x14ac:dyDescent="0.3">
      <c r="A155" s="2" t="s">
        <v>163</v>
      </c>
      <c r="B155" s="1" t="s">
        <v>520</v>
      </c>
      <c r="C155" s="6" t="str">
        <f t="shared" si="2"/>
        <v>June</v>
      </c>
      <c r="D155" s="1" t="s">
        <v>785</v>
      </c>
      <c r="E155" s="1" t="s">
        <v>792</v>
      </c>
      <c r="F155" s="1" t="s">
        <v>794</v>
      </c>
      <c r="G155" s="1" t="s">
        <v>797</v>
      </c>
      <c r="H155" s="1" t="s">
        <v>808</v>
      </c>
      <c r="I155" s="10" t="s">
        <v>815</v>
      </c>
      <c r="J155" s="1" t="s">
        <v>820</v>
      </c>
      <c r="K155" s="24">
        <v>53</v>
      </c>
      <c r="L155" s="25">
        <v>20</v>
      </c>
      <c r="M155" s="16">
        <v>1450</v>
      </c>
      <c r="N155" s="16">
        <v>33350</v>
      </c>
      <c r="O155" s="15">
        <v>4350</v>
      </c>
    </row>
    <row r="156" spans="1:15" x14ac:dyDescent="0.3">
      <c r="A156" s="2" t="s">
        <v>164</v>
      </c>
      <c r="B156" s="1" t="s">
        <v>636</v>
      </c>
      <c r="C156" s="6" t="str">
        <f t="shared" si="2"/>
        <v>August</v>
      </c>
      <c r="D156" s="1" t="s">
        <v>788</v>
      </c>
      <c r="E156" s="1" t="s">
        <v>790</v>
      </c>
      <c r="F156" s="1" t="s">
        <v>796</v>
      </c>
      <c r="G156" s="1" t="s">
        <v>802</v>
      </c>
      <c r="H156" s="1" t="s">
        <v>809</v>
      </c>
      <c r="I156" s="10" t="s">
        <v>812</v>
      </c>
      <c r="J156" s="1" t="s">
        <v>818</v>
      </c>
      <c r="K156" s="24">
        <v>26</v>
      </c>
      <c r="L156" s="25">
        <v>14</v>
      </c>
      <c r="M156" s="16">
        <v>166000</v>
      </c>
      <c r="N156" s="16">
        <v>2835280</v>
      </c>
      <c r="O156" s="15">
        <v>511280</v>
      </c>
    </row>
    <row r="157" spans="1:15" x14ac:dyDescent="0.3">
      <c r="A157" s="2" t="s">
        <v>165</v>
      </c>
      <c r="B157" s="1" t="s">
        <v>637</v>
      </c>
      <c r="C157" s="6" t="str">
        <f t="shared" si="2"/>
        <v>April</v>
      </c>
      <c r="D157" s="1" t="s">
        <v>788</v>
      </c>
      <c r="E157" s="1" t="s">
        <v>791</v>
      </c>
      <c r="F157" s="1" t="s">
        <v>796</v>
      </c>
      <c r="G157" s="1" t="s">
        <v>800</v>
      </c>
      <c r="H157" s="1" t="s">
        <v>810</v>
      </c>
      <c r="I157" s="10" t="s">
        <v>812</v>
      </c>
      <c r="J157" s="1" t="s">
        <v>817</v>
      </c>
      <c r="K157" s="24">
        <v>97</v>
      </c>
      <c r="L157" s="25">
        <v>1</v>
      </c>
      <c r="M157" s="16">
        <v>98700</v>
      </c>
      <c r="N157" s="16">
        <v>120414</v>
      </c>
      <c r="O157" s="15">
        <v>21714</v>
      </c>
    </row>
    <row r="158" spans="1:15" x14ac:dyDescent="0.3">
      <c r="A158" s="2" t="s">
        <v>166</v>
      </c>
      <c r="B158" s="1" t="s">
        <v>614</v>
      </c>
      <c r="C158" s="6" t="str">
        <f t="shared" si="2"/>
        <v>July</v>
      </c>
      <c r="D158" s="1" t="s">
        <v>788</v>
      </c>
      <c r="E158" s="1" t="s">
        <v>790</v>
      </c>
      <c r="F158" s="1" t="s">
        <v>796</v>
      </c>
      <c r="G158" s="1" t="s">
        <v>800</v>
      </c>
      <c r="H158" s="1" t="s">
        <v>810</v>
      </c>
      <c r="I158" s="10" t="s">
        <v>812</v>
      </c>
      <c r="J158" s="1" t="s">
        <v>820</v>
      </c>
      <c r="K158" s="24">
        <v>24</v>
      </c>
      <c r="L158" s="25">
        <v>8</v>
      </c>
      <c r="M158" s="16">
        <v>465000</v>
      </c>
      <c r="N158" s="16">
        <v>4538400</v>
      </c>
      <c r="O158" s="15">
        <v>818400</v>
      </c>
    </row>
    <row r="159" spans="1:15" x14ac:dyDescent="0.3">
      <c r="A159" s="2" t="s">
        <v>167</v>
      </c>
      <c r="B159" s="1" t="s">
        <v>561</v>
      </c>
      <c r="C159" s="6" t="str">
        <f t="shared" si="2"/>
        <v>November</v>
      </c>
      <c r="D159" s="1" t="s">
        <v>786</v>
      </c>
      <c r="E159" s="1" t="s">
        <v>791</v>
      </c>
      <c r="F159" s="1" t="s">
        <v>794</v>
      </c>
      <c r="G159" s="1" t="s">
        <v>797</v>
      </c>
      <c r="H159" s="1" t="s">
        <v>808</v>
      </c>
      <c r="I159" s="10" t="s">
        <v>815</v>
      </c>
      <c r="J159" s="1" t="s">
        <v>816</v>
      </c>
      <c r="K159" s="24">
        <v>87</v>
      </c>
      <c r="L159" s="25">
        <v>20</v>
      </c>
      <c r="M159" s="16">
        <v>1500</v>
      </c>
      <c r="N159" s="16">
        <v>34500</v>
      </c>
      <c r="O159" s="15">
        <v>4500</v>
      </c>
    </row>
    <row r="160" spans="1:15" x14ac:dyDescent="0.3">
      <c r="A160" s="2" t="s">
        <v>168</v>
      </c>
      <c r="B160" s="1" t="s">
        <v>638</v>
      </c>
      <c r="C160" s="6" t="str">
        <f t="shared" si="2"/>
        <v>May</v>
      </c>
      <c r="D160" s="1" t="s">
        <v>786</v>
      </c>
      <c r="E160" s="1" t="s">
        <v>791</v>
      </c>
      <c r="F160" s="1" t="s">
        <v>794</v>
      </c>
      <c r="G160" s="1" t="s">
        <v>797</v>
      </c>
      <c r="H160" s="1" t="s">
        <v>808</v>
      </c>
      <c r="I160" s="10" t="s">
        <v>815</v>
      </c>
      <c r="J160" s="1" t="s">
        <v>818</v>
      </c>
      <c r="K160" s="24">
        <v>96</v>
      </c>
      <c r="L160" s="25">
        <v>6</v>
      </c>
      <c r="M160" s="16">
        <v>1550</v>
      </c>
      <c r="N160" s="16">
        <v>10695</v>
      </c>
      <c r="O160" s="15">
        <v>1395</v>
      </c>
    </row>
    <row r="161" spans="1:15" x14ac:dyDescent="0.3">
      <c r="A161" s="2" t="s">
        <v>169</v>
      </c>
      <c r="B161" s="1" t="s">
        <v>639</v>
      </c>
      <c r="C161" s="6" t="str">
        <f t="shared" si="2"/>
        <v>June</v>
      </c>
      <c r="D161" s="1" t="s">
        <v>788</v>
      </c>
      <c r="E161" s="1" t="s">
        <v>793</v>
      </c>
      <c r="F161" s="1" t="s">
        <v>795</v>
      </c>
      <c r="G161" s="1" t="s">
        <v>803</v>
      </c>
      <c r="H161" s="1" t="s">
        <v>807</v>
      </c>
      <c r="I161" s="10" t="s">
        <v>811</v>
      </c>
      <c r="J161" s="1" t="s">
        <v>818</v>
      </c>
      <c r="K161" s="24">
        <v>39</v>
      </c>
      <c r="L161" s="25">
        <v>11</v>
      </c>
      <c r="M161" s="16">
        <v>9910</v>
      </c>
      <c r="N161" s="16">
        <v>129721.9</v>
      </c>
      <c r="O161" s="15">
        <v>20711.899999999994</v>
      </c>
    </row>
    <row r="162" spans="1:15" x14ac:dyDescent="0.3">
      <c r="A162" s="2" t="s">
        <v>170</v>
      </c>
      <c r="B162" s="1" t="s">
        <v>526</v>
      </c>
      <c r="C162" s="6" t="str">
        <f t="shared" si="2"/>
        <v>July</v>
      </c>
      <c r="D162" s="1" t="s">
        <v>789</v>
      </c>
      <c r="E162" s="1" t="s">
        <v>792</v>
      </c>
      <c r="F162" s="1" t="s">
        <v>795</v>
      </c>
      <c r="G162" s="1" t="s">
        <v>803</v>
      </c>
      <c r="H162" s="1" t="s">
        <v>807</v>
      </c>
      <c r="I162" s="10" t="s">
        <v>811</v>
      </c>
      <c r="J162" s="1" t="s">
        <v>819</v>
      </c>
      <c r="K162" s="24">
        <v>25</v>
      </c>
      <c r="L162" s="25">
        <v>7</v>
      </c>
      <c r="M162" s="16">
        <v>48000</v>
      </c>
      <c r="N162" s="16">
        <v>399840</v>
      </c>
      <c r="O162" s="15">
        <v>63840</v>
      </c>
    </row>
    <row r="163" spans="1:15" x14ac:dyDescent="0.3">
      <c r="A163" s="2" t="s">
        <v>171</v>
      </c>
      <c r="B163" s="1" t="s">
        <v>588</v>
      </c>
      <c r="C163" s="6" t="str">
        <f t="shared" si="2"/>
        <v>January</v>
      </c>
      <c r="D163" s="1" t="s">
        <v>787</v>
      </c>
      <c r="E163" s="1" t="s">
        <v>793</v>
      </c>
      <c r="F163" s="1" t="s">
        <v>795</v>
      </c>
      <c r="G163" s="1" t="s">
        <v>798</v>
      </c>
      <c r="H163" s="1" t="s">
        <v>805</v>
      </c>
      <c r="I163" s="10" t="s">
        <v>811</v>
      </c>
      <c r="J163" s="1" t="s">
        <v>816</v>
      </c>
      <c r="K163" s="24">
        <v>73</v>
      </c>
      <c r="L163" s="25">
        <v>18</v>
      </c>
      <c r="M163" s="16">
        <v>3590</v>
      </c>
      <c r="N163" s="16">
        <v>76897.8</v>
      </c>
      <c r="O163" s="15">
        <v>12277.800000000003</v>
      </c>
    </row>
    <row r="164" spans="1:15" x14ac:dyDescent="0.3">
      <c r="A164" s="2" t="s">
        <v>172</v>
      </c>
      <c r="B164" s="1" t="s">
        <v>609</v>
      </c>
      <c r="C164" s="6" t="str">
        <f t="shared" si="2"/>
        <v>February</v>
      </c>
      <c r="D164" s="1" t="s">
        <v>787</v>
      </c>
      <c r="E164" s="1" t="s">
        <v>792</v>
      </c>
      <c r="F164" s="1" t="s">
        <v>794</v>
      </c>
      <c r="G164" s="1" t="s">
        <v>797</v>
      </c>
      <c r="H164" s="1" t="s">
        <v>808</v>
      </c>
      <c r="I164" s="10" t="s">
        <v>815</v>
      </c>
      <c r="J164" s="1" t="s">
        <v>818</v>
      </c>
      <c r="K164" s="24">
        <v>86</v>
      </c>
      <c r="L164" s="25">
        <v>9</v>
      </c>
      <c r="M164" s="16">
        <v>3598</v>
      </c>
      <c r="N164" s="16">
        <v>37239.300000000003</v>
      </c>
      <c r="O164" s="15">
        <v>4857.3000000000029</v>
      </c>
    </row>
    <row r="165" spans="1:15" x14ac:dyDescent="0.3">
      <c r="A165" s="2" t="s">
        <v>173</v>
      </c>
      <c r="B165" s="1" t="s">
        <v>640</v>
      </c>
      <c r="C165" s="6" t="str">
        <f t="shared" si="2"/>
        <v>November</v>
      </c>
      <c r="D165" s="1" t="s">
        <v>784</v>
      </c>
      <c r="E165" s="1" t="s">
        <v>791</v>
      </c>
      <c r="F165" s="1" t="s">
        <v>795</v>
      </c>
      <c r="G165" s="1" t="s">
        <v>798</v>
      </c>
      <c r="H165" s="1" t="s">
        <v>805</v>
      </c>
      <c r="I165" s="10" t="s">
        <v>811</v>
      </c>
      <c r="J165" s="1" t="s">
        <v>816</v>
      </c>
      <c r="K165" s="24">
        <v>89</v>
      </c>
      <c r="L165" s="25">
        <v>9</v>
      </c>
      <c r="M165" s="16">
        <v>1277</v>
      </c>
      <c r="N165" s="16">
        <v>13676.67</v>
      </c>
      <c r="O165" s="15">
        <v>2183.67</v>
      </c>
    </row>
    <row r="166" spans="1:15" x14ac:dyDescent="0.3">
      <c r="A166" s="2" t="s">
        <v>174</v>
      </c>
      <c r="B166" s="1" t="s">
        <v>641</v>
      </c>
      <c r="C166" s="6" t="str">
        <f t="shared" si="2"/>
        <v>November</v>
      </c>
      <c r="D166" s="1" t="s">
        <v>784</v>
      </c>
      <c r="E166" s="1" t="s">
        <v>791</v>
      </c>
      <c r="F166" s="1" t="s">
        <v>796</v>
      </c>
      <c r="G166" s="1" t="s">
        <v>800</v>
      </c>
      <c r="H166" s="1" t="s">
        <v>810</v>
      </c>
      <c r="I166" s="10" t="s">
        <v>814</v>
      </c>
      <c r="J166" s="1" t="s">
        <v>816</v>
      </c>
      <c r="K166" s="24">
        <v>86</v>
      </c>
      <c r="L166" s="25">
        <v>15</v>
      </c>
      <c r="M166" s="16">
        <v>156580</v>
      </c>
      <c r="N166" s="16">
        <v>2865414</v>
      </c>
      <c r="O166" s="15">
        <v>516714</v>
      </c>
    </row>
    <row r="167" spans="1:15" x14ac:dyDescent="0.3">
      <c r="A167" s="2" t="s">
        <v>175</v>
      </c>
      <c r="B167" s="1" t="s">
        <v>595</v>
      </c>
      <c r="C167" s="6" t="str">
        <f t="shared" si="2"/>
        <v>September</v>
      </c>
      <c r="D167" s="1" t="s">
        <v>784</v>
      </c>
      <c r="E167" s="1" t="s">
        <v>793</v>
      </c>
      <c r="F167" s="1" t="s">
        <v>796</v>
      </c>
      <c r="G167" s="1" t="s">
        <v>800</v>
      </c>
      <c r="H167" s="1" t="s">
        <v>810</v>
      </c>
      <c r="I167" s="10" t="s">
        <v>814</v>
      </c>
      <c r="J167" s="1" t="s">
        <v>816</v>
      </c>
      <c r="K167" s="24">
        <v>76</v>
      </c>
      <c r="L167" s="25">
        <v>13</v>
      </c>
      <c r="M167" s="16">
        <v>158440</v>
      </c>
      <c r="N167" s="16">
        <v>2512858.4</v>
      </c>
      <c r="O167" s="15">
        <v>453138.39999999991</v>
      </c>
    </row>
    <row r="168" spans="1:15" x14ac:dyDescent="0.3">
      <c r="A168" s="2" t="s">
        <v>176</v>
      </c>
      <c r="B168" s="1" t="s">
        <v>642</v>
      </c>
      <c r="C168" s="6" t="str">
        <f t="shared" si="2"/>
        <v>January</v>
      </c>
      <c r="D168" s="1" t="s">
        <v>784</v>
      </c>
      <c r="E168" s="1" t="s">
        <v>792</v>
      </c>
      <c r="F168" s="1" t="s">
        <v>796</v>
      </c>
      <c r="G168" s="1" t="s">
        <v>802</v>
      </c>
      <c r="H168" s="1" t="s">
        <v>809</v>
      </c>
      <c r="I168" s="10" t="s">
        <v>814</v>
      </c>
      <c r="J168" s="1" t="s">
        <v>819</v>
      </c>
      <c r="K168" s="24">
        <v>40</v>
      </c>
      <c r="L168" s="25">
        <v>11</v>
      </c>
      <c r="M168" s="16">
        <v>249200</v>
      </c>
      <c r="N168" s="16">
        <v>3344264</v>
      </c>
      <c r="O168" s="15">
        <v>603064</v>
      </c>
    </row>
    <row r="169" spans="1:15" x14ac:dyDescent="0.3">
      <c r="A169" s="2" t="s">
        <v>177</v>
      </c>
      <c r="B169" s="1" t="s">
        <v>529</v>
      </c>
      <c r="C169" s="6" t="str">
        <f t="shared" si="2"/>
        <v>February</v>
      </c>
      <c r="D169" s="1" t="s">
        <v>789</v>
      </c>
      <c r="E169" s="1" t="s">
        <v>791</v>
      </c>
      <c r="F169" s="1" t="s">
        <v>795</v>
      </c>
      <c r="G169" s="1" t="s">
        <v>798</v>
      </c>
      <c r="H169" s="1" t="s">
        <v>805</v>
      </c>
      <c r="I169" s="10" t="s">
        <v>811</v>
      </c>
      <c r="J169" s="1" t="s">
        <v>816</v>
      </c>
      <c r="K169" s="24">
        <v>70</v>
      </c>
      <c r="L169" s="25">
        <v>7</v>
      </c>
      <c r="M169" s="16">
        <v>2640</v>
      </c>
      <c r="N169" s="16">
        <v>21991.200000000001</v>
      </c>
      <c r="O169" s="15">
        <v>3511.2000000000007</v>
      </c>
    </row>
    <row r="170" spans="1:15" x14ac:dyDescent="0.3">
      <c r="A170" s="2" t="s">
        <v>178</v>
      </c>
      <c r="B170" s="1" t="s">
        <v>608</v>
      </c>
      <c r="C170" s="6" t="str">
        <f t="shared" si="2"/>
        <v>August</v>
      </c>
      <c r="D170" s="1" t="s">
        <v>789</v>
      </c>
      <c r="E170" s="1" t="s">
        <v>792</v>
      </c>
      <c r="F170" s="1" t="s">
        <v>795</v>
      </c>
      <c r="G170" s="1" t="s">
        <v>798</v>
      </c>
      <c r="H170" s="1" t="s">
        <v>805</v>
      </c>
      <c r="I170" s="10" t="s">
        <v>811</v>
      </c>
      <c r="J170" s="1" t="s">
        <v>819</v>
      </c>
      <c r="K170" s="24">
        <v>52</v>
      </c>
      <c r="L170" s="25">
        <v>20</v>
      </c>
      <c r="M170" s="16">
        <v>2959</v>
      </c>
      <c r="N170" s="16">
        <v>70424.2</v>
      </c>
      <c r="O170" s="15">
        <v>11244.199999999997</v>
      </c>
    </row>
    <row r="171" spans="1:15" x14ac:dyDescent="0.3">
      <c r="A171" s="2" t="s">
        <v>179</v>
      </c>
      <c r="B171" s="1" t="s">
        <v>643</v>
      </c>
      <c r="C171" s="6" t="str">
        <f t="shared" si="2"/>
        <v>October</v>
      </c>
      <c r="D171" s="1" t="s">
        <v>789</v>
      </c>
      <c r="E171" s="1" t="s">
        <v>792</v>
      </c>
      <c r="F171" s="1" t="s">
        <v>796</v>
      </c>
      <c r="G171" s="1" t="s">
        <v>800</v>
      </c>
      <c r="H171" s="1" t="s">
        <v>810</v>
      </c>
      <c r="I171" s="10" t="s">
        <v>814</v>
      </c>
      <c r="J171" s="1" t="s">
        <v>820</v>
      </c>
      <c r="K171" s="24">
        <v>91</v>
      </c>
      <c r="L171" s="25">
        <v>2</v>
      </c>
      <c r="M171" s="16">
        <v>148370</v>
      </c>
      <c r="N171" s="16">
        <v>362022.8</v>
      </c>
      <c r="O171" s="15">
        <v>65282.799999999988</v>
      </c>
    </row>
    <row r="172" spans="1:15" x14ac:dyDescent="0.3">
      <c r="A172" s="2" t="s">
        <v>180</v>
      </c>
      <c r="B172" s="1" t="s">
        <v>603</v>
      </c>
      <c r="C172" s="6" t="str">
        <f t="shared" si="2"/>
        <v>May</v>
      </c>
      <c r="D172" s="1" t="s">
        <v>787</v>
      </c>
      <c r="E172" s="1" t="s">
        <v>790</v>
      </c>
      <c r="F172" s="1" t="s">
        <v>794</v>
      </c>
      <c r="G172" s="1" t="s">
        <v>797</v>
      </c>
      <c r="H172" s="1" t="s">
        <v>808</v>
      </c>
      <c r="I172" s="10" t="s">
        <v>815</v>
      </c>
      <c r="J172" s="1" t="s">
        <v>820</v>
      </c>
      <c r="K172" s="24">
        <v>67</v>
      </c>
      <c r="L172" s="25">
        <v>17</v>
      </c>
      <c r="M172" s="16">
        <v>2461</v>
      </c>
      <c r="N172" s="16">
        <v>48112.55</v>
      </c>
      <c r="O172" s="15">
        <v>6275.5500000000029</v>
      </c>
    </row>
    <row r="173" spans="1:15" x14ac:dyDescent="0.3">
      <c r="A173" s="2" t="s">
        <v>181</v>
      </c>
      <c r="B173" s="1" t="s">
        <v>644</v>
      </c>
      <c r="C173" s="6" t="str">
        <f t="shared" si="2"/>
        <v>August</v>
      </c>
      <c r="D173" s="1" t="s">
        <v>784</v>
      </c>
      <c r="E173" s="1" t="s">
        <v>791</v>
      </c>
      <c r="F173" s="1" t="s">
        <v>794</v>
      </c>
      <c r="G173" s="1" t="s">
        <v>801</v>
      </c>
      <c r="H173" s="1" t="s">
        <v>806</v>
      </c>
      <c r="I173" s="10" t="s">
        <v>815</v>
      </c>
      <c r="J173" s="1" t="s">
        <v>818</v>
      </c>
      <c r="K173" s="24">
        <v>10</v>
      </c>
      <c r="L173" s="25">
        <v>11</v>
      </c>
      <c r="M173" s="16">
        <v>2253</v>
      </c>
      <c r="N173" s="16">
        <v>28500.45</v>
      </c>
      <c r="O173" s="15">
        <v>3717.4500000000007</v>
      </c>
    </row>
    <row r="174" spans="1:15" x14ac:dyDescent="0.3">
      <c r="A174" s="2" t="s">
        <v>182</v>
      </c>
      <c r="B174" s="1" t="s">
        <v>645</v>
      </c>
      <c r="C174" s="6" t="str">
        <f t="shared" si="2"/>
        <v>November</v>
      </c>
      <c r="D174" s="1" t="s">
        <v>788</v>
      </c>
      <c r="E174" s="1" t="s">
        <v>790</v>
      </c>
      <c r="F174" s="1" t="s">
        <v>795</v>
      </c>
      <c r="G174" s="1" t="s">
        <v>803</v>
      </c>
      <c r="H174" s="1" t="s">
        <v>807</v>
      </c>
      <c r="I174" s="10" t="s">
        <v>811</v>
      </c>
      <c r="J174" s="1" t="s">
        <v>817</v>
      </c>
      <c r="K174" s="24">
        <v>0</v>
      </c>
      <c r="L174" s="25">
        <v>17</v>
      </c>
      <c r="M174" s="16">
        <v>20170</v>
      </c>
      <c r="N174" s="16">
        <v>408039.1</v>
      </c>
      <c r="O174" s="15">
        <v>65149.099999999977</v>
      </c>
    </row>
    <row r="175" spans="1:15" x14ac:dyDescent="0.3">
      <c r="A175" s="2" t="s">
        <v>183</v>
      </c>
      <c r="B175" s="1" t="s">
        <v>646</v>
      </c>
      <c r="C175" s="6" t="str">
        <f t="shared" si="2"/>
        <v>September</v>
      </c>
      <c r="D175" s="1" t="s">
        <v>789</v>
      </c>
      <c r="E175" s="1" t="s">
        <v>793</v>
      </c>
      <c r="F175" s="1" t="s">
        <v>794</v>
      </c>
      <c r="G175" s="1" t="s">
        <v>801</v>
      </c>
      <c r="H175" s="1" t="s">
        <v>806</v>
      </c>
      <c r="I175" s="10" t="s">
        <v>815</v>
      </c>
      <c r="J175" s="1" t="s">
        <v>817</v>
      </c>
      <c r="K175" s="24">
        <v>78</v>
      </c>
      <c r="L175" s="25">
        <v>16</v>
      </c>
      <c r="M175" s="16">
        <v>3149</v>
      </c>
      <c r="N175" s="16">
        <v>57941.599999999999</v>
      </c>
      <c r="O175" s="15">
        <v>7557.5999999999985</v>
      </c>
    </row>
    <row r="176" spans="1:15" x14ac:dyDescent="0.3">
      <c r="A176" s="2" t="s">
        <v>184</v>
      </c>
      <c r="B176" s="1" t="s">
        <v>592</v>
      </c>
      <c r="C176" s="6" t="str">
        <f t="shared" si="2"/>
        <v>October</v>
      </c>
      <c r="D176" s="1" t="s">
        <v>786</v>
      </c>
      <c r="E176" s="1" t="s">
        <v>791</v>
      </c>
      <c r="F176" s="1" t="s">
        <v>796</v>
      </c>
      <c r="G176" s="1" t="s">
        <v>799</v>
      </c>
      <c r="H176" s="1" t="s">
        <v>804</v>
      </c>
      <c r="I176" s="10" t="s">
        <v>812</v>
      </c>
      <c r="J176" s="1" t="s">
        <v>820</v>
      </c>
      <c r="K176" s="24">
        <v>24</v>
      </c>
      <c r="L176" s="25">
        <v>9</v>
      </c>
      <c r="M176" s="16">
        <v>43960</v>
      </c>
      <c r="N176" s="16">
        <v>482680.8</v>
      </c>
      <c r="O176" s="15">
        <v>87040.799999999988</v>
      </c>
    </row>
    <row r="177" spans="1:15" x14ac:dyDescent="0.3">
      <c r="A177" s="2" t="s">
        <v>185</v>
      </c>
      <c r="B177" s="1" t="s">
        <v>647</v>
      </c>
      <c r="C177" s="6" t="str">
        <f t="shared" si="2"/>
        <v>May</v>
      </c>
      <c r="D177" s="1" t="s">
        <v>788</v>
      </c>
      <c r="E177" s="1" t="s">
        <v>792</v>
      </c>
      <c r="F177" s="1" t="s">
        <v>794</v>
      </c>
      <c r="G177" s="1" t="s">
        <v>797</v>
      </c>
      <c r="H177" s="1" t="s">
        <v>808</v>
      </c>
      <c r="I177" s="10" t="s">
        <v>815</v>
      </c>
      <c r="J177" s="1" t="s">
        <v>817</v>
      </c>
      <c r="K177" s="24">
        <v>33</v>
      </c>
      <c r="L177" s="25">
        <v>17</v>
      </c>
      <c r="M177" s="16">
        <v>3428</v>
      </c>
      <c r="N177" s="16">
        <v>67017.399999999994</v>
      </c>
      <c r="O177" s="15">
        <v>8741.3999999999942</v>
      </c>
    </row>
    <row r="178" spans="1:15" x14ac:dyDescent="0.3">
      <c r="A178" s="2" t="s">
        <v>186</v>
      </c>
      <c r="B178" s="1" t="s">
        <v>588</v>
      </c>
      <c r="C178" s="6" t="str">
        <f t="shared" si="2"/>
        <v>January</v>
      </c>
      <c r="D178" s="1" t="s">
        <v>784</v>
      </c>
      <c r="E178" s="1" t="s">
        <v>790</v>
      </c>
      <c r="F178" s="1" t="s">
        <v>794</v>
      </c>
      <c r="G178" s="1" t="s">
        <v>801</v>
      </c>
      <c r="H178" s="1" t="s">
        <v>806</v>
      </c>
      <c r="I178" s="10" t="s">
        <v>813</v>
      </c>
      <c r="J178" s="1" t="s">
        <v>820</v>
      </c>
      <c r="K178" s="24">
        <v>49</v>
      </c>
      <c r="L178" s="25">
        <v>16</v>
      </c>
      <c r="M178" s="16">
        <v>1278</v>
      </c>
      <c r="N178" s="16">
        <v>23515.200000000001</v>
      </c>
      <c r="O178" s="15">
        <v>3067.2000000000007</v>
      </c>
    </row>
    <row r="179" spans="1:15" x14ac:dyDescent="0.3">
      <c r="A179" s="2" t="s">
        <v>187</v>
      </c>
      <c r="B179" s="1" t="s">
        <v>512</v>
      </c>
      <c r="C179" s="6" t="str">
        <f t="shared" si="2"/>
        <v>May</v>
      </c>
      <c r="D179" s="1" t="s">
        <v>788</v>
      </c>
      <c r="E179" s="1" t="s">
        <v>791</v>
      </c>
      <c r="F179" s="1" t="s">
        <v>796</v>
      </c>
      <c r="G179" s="1" t="s">
        <v>799</v>
      </c>
      <c r="H179" s="1" t="s">
        <v>804</v>
      </c>
      <c r="I179" s="10" t="s">
        <v>814</v>
      </c>
      <c r="J179" s="1" t="s">
        <v>819</v>
      </c>
      <c r="K179" s="24">
        <v>67</v>
      </c>
      <c r="L179" s="25">
        <v>4</v>
      </c>
      <c r="M179" s="16">
        <v>27470</v>
      </c>
      <c r="N179" s="16">
        <v>134053.6</v>
      </c>
      <c r="O179" s="15">
        <v>24173.600000000006</v>
      </c>
    </row>
    <row r="180" spans="1:15" x14ac:dyDescent="0.3">
      <c r="A180" s="2" t="s">
        <v>188</v>
      </c>
      <c r="B180" s="1" t="s">
        <v>648</v>
      </c>
      <c r="C180" s="6" t="str">
        <f t="shared" si="2"/>
        <v>July</v>
      </c>
      <c r="D180" s="1" t="s">
        <v>786</v>
      </c>
      <c r="E180" s="1" t="s">
        <v>792</v>
      </c>
      <c r="F180" s="1" t="s">
        <v>795</v>
      </c>
      <c r="G180" s="1" t="s">
        <v>798</v>
      </c>
      <c r="H180" s="1" t="s">
        <v>805</v>
      </c>
      <c r="I180" s="10" t="s">
        <v>811</v>
      </c>
      <c r="J180" s="1" t="s">
        <v>819</v>
      </c>
      <c r="K180" s="24">
        <v>89</v>
      </c>
      <c r="L180" s="25">
        <v>7</v>
      </c>
      <c r="M180" s="16">
        <v>4715</v>
      </c>
      <c r="N180" s="16">
        <v>39275.949999999997</v>
      </c>
      <c r="O180" s="15">
        <v>6270.9499999999971</v>
      </c>
    </row>
    <row r="181" spans="1:15" x14ac:dyDescent="0.3">
      <c r="A181" s="2" t="s">
        <v>189</v>
      </c>
      <c r="B181" s="1" t="s">
        <v>649</v>
      </c>
      <c r="C181" s="6" t="str">
        <f t="shared" si="2"/>
        <v>October</v>
      </c>
      <c r="D181" s="1" t="s">
        <v>788</v>
      </c>
      <c r="E181" s="1" t="s">
        <v>792</v>
      </c>
      <c r="F181" s="1" t="s">
        <v>794</v>
      </c>
      <c r="G181" s="1" t="s">
        <v>797</v>
      </c>
      <c r="H181" s="1" t="s">
        <v>808</v>
      </c>
      <c r="I181" s="10" t="s">
        <v>815</v>
      </c>
      <c r="J181" s="1" t="s">
        <v>818</v>
      </c>
      <c r="K181" s="24">
        <v>57</v>
      </c>
      <c r="L181" s="25">
        <v>3</v>
      </c>
      <c r="M181" s="16">
        <v>1125</v>
      </c>
      <c r="N181" s="16">
        <v>3881.25</v>
      </c>
      <c r="O181" s="15">
        <v>506.25</v>
      </c>
    </row>
    <row r="182" spans="1:15" x14ac:dyDescent="0.3">
      <c r="A182" s="2" t="s">
        <v>190</v>
      </c>
      <c r="B182" s="1" t="s">
        <v>611</v>
      </c>
      <c r="C182" s="6" t="str">
        <f t="shared" si="2"/>
        <v>March</v>
      </c>
      <c r="D182" s="1" t="s">
        <v>788</v>
      </c>
      <c r="E182" s="1" t="s">
        <v>792</v>
      </c>
      <c r="F182" s="1" t="s">
        <v>796</v>
      </c>
      <c r="G182" s="1" t="s">
        <v>800</v>
      </c>
      <c r="H182" s="1" t="s">
        <v>810</v>
      </c>
      <c r="I182" s="10" t="s">
        <v>814</v>
      </c>
      <c r="J182" s="1" t="s">
        <v>818</v>
      </c>
      <c r="K182" s="24">
        <v>55</v>
      </c>
      <c r="L182" s="25">
        <v>2</v>
      </c>
      <c r="M182" s="16">
        <v>155550</v>
      </c>
      <c r="N182" s="16">
        <v>379542</v>
      </c>
      <c r="O182" s="15">
        <v>68442</v>
      </c>
    </row>
    <row r="183" spans="1:15" x14ac:dyDescent="0.3">
      <c r="A183" s="2" t="s">
        <v>191</v>
      </c>
      <c r="B183" s="1" t="s">
        <v>587</v>
      </c>
      <c r="C183" s="6" t="str">
        <f t="shared" si="2"/>
        <v>November</v>
      </c>
      <c r="D183" s="1" t="s">
        <v>787</v>
      </c>
      <c r="E183" s="1" t="s">
        <v>793</v>
      </c>
      <c r="F183" s="1" t="s">
        <v>796</v>
      </c>
      <c r="G183" s="1" t="s">
        <v>802</v>
      </c>
      <c r="H183" s="1" t="s">
        <v>809</v>
      </c>
      <c r="I183" s="10" t="s">
        <v>814</v>
      </c>
      <c r="J183" s="1" t="s">
        <v>820</v>
      </c>
      <c r="K183" s="24">
        <v>48</v>
      </c>
      <c r="L183" s="25">
        <v>20</v>
      </c>
      <c r="M183" s="16">
        <v>25370</v>
      </c>
      <c r="N183" s="16">
        <v>619028</v>
      </c>
      <c r="O183" s="15">
        <v>111628</v>
      </c>
    </row>
    <row r="184" spans="1:15" x14ac:dyDescent="0.3">
      <c r="A184" s="2" t="s">
        <v>192</v>
      </c>
      <c r="B184" s="1" t="s">
        <v>650</v>
      </c>
      <c r="C184" s="6" t="str">
        <f t="shared" si="2"/>
        <v>January</v>
      </c>
      <c r="D184" s="1" t="s">
        <v>788</v>
      </c>
      <c r="E184" s="1" t="s">
        <v>793</v>
      </c>
      <c r="F184" s="1" t="s">
        <v>795</v>
      </c>
      <c r="G184" s="1" t="s">
        <v>803</v>
      </c>
      <c r="H184" s="1" t="s">
        <v>807</v>
      </c>
      <c r="I184" s="10" t="s">
        <v>811</v>
      </c>
      <c r="J184" s="1" t="s">
        <v>820</v>
      </c>
      <c r="K184" s="24">
        <v>0</v>
      </c>
      <c r="L184" s="25">
        <v>16</v>
      </c>
      <c r="M184" s="16">
        <v>27780</v>
      </c>
      <c r="N184" s="16">
        <v>528931.19999999995</v>
      </c>
      <c r="O184" s="15">
        <v>84451.199999999953</v>
      </c>
    </row>
    <row r="185" spans="1:15" x14ac:dyDescent="0.3">
      <c r="A185" s="2" t="s">
        <v>193</v>
      </c>
      <c r="B185" s="1" t="s">
        <v>651</v>
      </c>
      <c r="C185" s="6" t="str">
        <f t="shared" si="2"/>
        <v>December</v>
      </c>
      <c r="D185" s="1" t="s">
        <v>786</v>
      </c>
      <c r="E185" s="1" t="s">
        <v>791</v>
      </c>
      <c r="F185" s="1" t="s">
        <v>796</v>
      </c>
      <c r="G185" s="1" t="s">
        <v>800</v>
      </c>
      <c r="H185" s="1" t="s">
        <v>810</v>
      </c>
      <c r="I185" s="10" t="s">
        <v>814</v>
      </c>
      <c r="J185" s="1" t="s">
        <v>820</v>
      </c>
      <c r="K185" s="24">
        <v>84</v>
      </c>
      <c r="L185" s="25">
        <v>13</v>
      </c>
      <c r="M185" s="16">
        <v>66660</v>
      </c>
      <c r="N185" s="16">
        <v>1057227.6000000001</v>
      </c>
      <c r="O185" s="15">
        <v>190647.60000000009</v>
      </c>
    </row>
    <row r="186" spans="1:15" x14ac:dyDescent="0.3">
      <c r="A186" s="2" t="s">
        <v>194</v>
      </c>
      <c r="B186" s="1" t="s">
        <v>652</v>
      </c>
      <c r="C186" s="6" t="str">
        <f t="shared" si="2"/>
        <v>November</v>
      </c>
      <c r="D186" s="1" t="s">
        <v>788</v>
      </c>
      <c r="E186" s="1" t="s">
        <v>791</v>
      </c>
      <c r="F186" s="1" t="s">
        <v>796</v>
      </c>
      <c r="G186" s="1" t="s">
        <v>802</v>
      </c>
      <c r="H186" s="1" t="s">
        <v>809</v>
      </c>
      <c r="I186" s="10" t="s">
        <v>814</v>
      </c>
      <c r="J186" s="1" t="s">
        <v>817</v>
      </c>
      <c r="K186" s="24">
        <v>82</v>
      </c>
      <c r="L186" s="25">
        <v>10</v>
      </c>
      <c r="M186" s="16">
        <v>38600</v>
      </c>
      <c r="N186" s="16">
        <v>470920</v>
      </c>
      <c r="O186" s="15">
        <v>84920</v>
      </c>
    </row>
    <row r="187" spans="1:15" x14ac:dyDescent="0.3">
      <c r="A187" s="2" t="s">
        <v>195</v>
      </c>
      <c r="B187" s="1" t="s">
        <v>653</v>
      </c>
      <c r="C187" s="6" t="str">
        <f t="shared" si="2"/>
        <v>October</v>
      </c>
      <c r="D187" s="1" t="s">
        <v>789</v>
      </c>
      <c r="E187" s="1" t="s">
        <v>791</v>
      </c>
      <c r="F187" s="1" t="s">
        <v>796</v>
      </c>
      <c r="G187" s="1" t="s">
        <v>799</v>
      </c>
      <c r="H187" s="1" t="s">
        <v>804</v>
      </c>
      <c r="I187" s="10" t="s">
        <v>814</v>
      </c>
      <c r="J187" s="1" t="s">
        <v>816</v>
      </c>
      <c r="K187" s="24">
        <v>72</v>
      </c>
      <c r="L187" s="25">
        <v>1</v>
      </c>
      <c r="M187" s="16">
        <v>40750</v>
      </c>
      <c r="N187" s="16">
        <v>49715</v>
      </c>
      <c r="O187" s="15">
        <v>8965</v>
      </c>
    </row>
    <row r="188" spans="1:15" x14ac:dyDescent="0.3">
      <c r="A188" s="2" t="s">
        <v>196</v>
      </c>
      <c r="B188" s="1" t="s">
        <v>654</v>
      </c>
      <c r="C188" s="6" t="str">
        <f t="shared" si="2"/>
        <v>March</v>
      </c>
      <c r="D188" s="1" t="s">
        <v>789</v>
      </c>
      <c r="E188" s="1" t="s">
        <v>791</v>
      </c>
      <c r="F188" s="1" t="s">
        <v>796</v>
      </c>
      <c r="G188" s="1" t="s">
        <v>800</v>
      </c>
      <c r="H188" s="1" t="s">
        <v>810</v>
      </c>
      <c r="I188" s="10" t="s">
        <v>814</v>
      </c>
      <c r="J188" s="1" t="s">
        <v>818</v>
      </c>
      <c r="K188" s="24">
        <v>0</v>
      </c>
      <c r="L188" s="25">
        <v>2</v>
      </c>
      <c r="M188" s="16">
        <v>148110</v>
      </c>
      <c r="N188" s="16">
        <v>361388.4</v>
      </c>
      <c r="O188" s="15">
        <v>65168.400000000023</v>
      </c>
    </row>
    <row r="189" spans="1:15" x14ac:dyDescent="0.3">
      <c r="A189" s="2" t="s">
        <v>197</v>
      </c>
      <c r="B189" s="1" t="s">
        <v>655</v>
      </c>
      <c r="C189" s="6" t="str">
        <f t="shared" si="2"/>
        <v>November</v>
      </c>
      <c r="D189" s="1" t="s">
        <v>789</v>
      </c>
      <c r="E189" s="1" t="s">
        <v>791</v>
      </c>
      <c r="F189" s="1" t="s">
        <v>795</v>
      </c>
      <c r="G189" s="1" t="s">
        <v>803</v>
      </c>
      <c r="H189" s="1" t="s">
        <v>807</v>
      </c>
      <c r="I189" s="10" t="s">
        <v>811</v>
      </c>
      <c r="J189" s="1" t="s">
        <v>818</v>
      </c>
      <c r="K189" s="24">
        <v>10</v>
      </c>
      <c r="L189" s="25">
        <v>12</v>
      </c>
      <c r="M189" s="16">
        <v>27830</v>
      </c>
      <c r="N189" s="16">
        <v>397412.4</v>
      </c>
      <c r="O189" s="15">
        <v>63452.400000000023</v>
      </c>
    </row>
    <row r="190" spans="1:15" x14ac:dyDescent="0.3">
      <c r="A190" s="2" t="s">
        <v>198</v>
      </c>
      <c r="B190" s="1" t="s">
        <v>510</v>
      </c>
      <c r="C190" s="6" t="str">
        <f t="shared" si="2"/>
        <v>October</v>
      </c>
      <c r="D190" s="1" t="s">
        <v>789</v>
      </c>
      <c r="E190" s="1" t="s">
        <v>793</v>
      </c>
      <c r="F190" s="1" t="s">
        <v>795</v>
      </c>
      <c r="G190" s="1" t="s">
        <v>798</v>
      </c>
      <c r="H190" s="1" t="s">
        <v>805</v>
      </c>
      <c r="I190" s="10" t="s">
        <v>811</v>
      </c>
      <c r="J190" s="1" t="s">
        <v>817</v>
      </c>
      <c r="K190" s="24">
        <v>95</v>
      </c>
      <c r="L190" s="25">
        <v>8</v>
      </c>
      <c r="M190" s="16">
        <v>4826</v>
      </c>
      <c r="N190" s="16">
        <v>45943.520000000004</v>
      </c>
      <c r="O190" s="15">
        <v>7335.5200000000041</v>
      </c>
    </row>
    <row r="191" spans="1:15" x14ac:dyDescent="0.3">
      <c r="A191" s="2" t="s">
        <v>199</v>
      </c>
      <c r="B191" s="1" t="s">
        <v>656</v>
      </c>
      <c r="C191" s="6" t="str">
        <f t="shared" si="2"/>
        <v>October</v>
      </c>
      <c r="D191" s="1" t="s">
        <v>788</v>
      </c>
      <c r="E191" s="1" t="s">
        <v>790</v>
      </c>
      <c r="F191" s="1" t="s">
        <v>795</v>
      </c>
      <c r="G191" s="1" t="s">
        <v>798</v>
      </c>
      <c r="H191" s="1" t="s">
        <v>805</v>
      </c>
      <c r="I191" s="10" t="s">
        <v>811</v>
      </c>
      <c r="J191" s="1" t="s">
        <v>819</v>
      </c>
      <c r="K191" s="24">
        <v>45</v>
      </c>
      <c r="L191" s="25">
        <v>10</v>
      </c>
      <c r="M191" s="16">
        <v>1200</v>
      </c>
      <c r="N191" s="16">
        <v>14280</v>
      </c>
      <c r="O191" s="15">
        <v>2280</v>
      </c>
    </row>
    <row r="192" spans="1:15" x14ac:dyDescent="0.3">
      <c r="A192" s="2" t="s">
        <v>200</v>
      </c>
      <c r="B192" s="1" t="s">
        <v>581</v>
      </c>
      <c r="C192" s="6" t="str">
        <f t="shared" si="2"/>
        <v>May</v>
      </c>
      <c r="D192" s="1" t="s">
        <v>785</v>
      </c>
      <c r="E192" s="1" t="s">
        <v>790</v>
      </c>
      <c r="F192" s="1" t="s">
        <v>794</v>
      </c>
      <c r="G192" s="1" t="s">
        <v>801</v>
      </c>
      <c r="H192" s="1" t="s">
        <v>806</v>
      </c>
      <c r="I192" s="10" t="s">
        <v>815</v>
      </c>
      <c r="J192" s="1" t="s">
        <v>820</v>
      </c>
      <c r="K192" s="24">
        <v>66</v>
      </c>
      <c r="L192" s="25">
        <v>8</v>
      </c>
      <c r="M192" s="16">
        <v>545</v>
      </c>
      <c r="N192" s="16">
        <v>5014</v>
      </c>
      <c r="O192" s="15">
        <v>654</v>
      </c>
    </row>
    <row r="193" spans="1:15" x14ac:dyDescent="0.3">
      <c r="A193" s="2" t="s">
        <v>201</v>
      </c>
      <c r="B193" s="1" t="s">
        <v>596</v>
      </c>
      <c r="C193" s="6" t="str">
        <f t="shared" si="2"/>
        <v>March</v>
      </c>
      <c r="D193" s="1" t="s">
        <v>786</v>
      </c>
      <c r="E193" s="1" t="s">
        <v>792</v>
      </c>
      <c r="F193" s="1" t="s">
        <v>794</v>
      </c>
      <c r="G193" s="1" t="s">
        <v>797</v>
      </c>
      <c r="H193" s="1" t="s">
        <v>808</v>
      </c>
      <c r="I193" s="10" t="s">
        <v>815</v>
      </c>
      <c r="J193" s="1" t="s">
        <v>818</v>
      </c>
      <c r="K193" s="24">
        <v>13</v>
      </c>
      <c r="L193" s="25">
        <v>12</v>
      </c>
      <c r="M193" s="16">
        <v>1135</v>
      </c>
      <c r="N193" s="16">
        <v>15663</v>
      </c>
      <c r="O193" s="15">
        <v>2043</v>
      </c>
    </row>
    <row r="194" spans="1:15" x14ac:dyDescent="0.3">
      <c r="A194" s="2" t="s">
        <v>202</v>
      </c>
      <c r="B194" s="1" t="s">
        <v>529</v>
      </c>
      <c r="C194" s="6" t="str">
        <f t="shared" si="2"/>
        <v>February</v>
      </c>
      <c r="D194" s="1" t="s">
        <v>787</v>
      </c>
      <c r="E194" s="1" t="s">
        <v>790</v>
      </c>
      <c r="F194" s="1" t="s">
        <v>795</v>
      </c>
      <c r="G194" s="1" t="s">
        <v>803</v>
      </c>
      <c r="H194" s="1" t="s">
        <v>807</v>
      </c>
      <c r="I194" s="10" t="s">
        <v>811</v>
      </c>
      <c r="J194" s="1" t="s">
        <v>816</v>
      </c>
      <c r="K194" s="24">
        <v>67</v>
      </c>
      <c r="L194" s="25">
        <v>8</v>
      </c>
      <c r="M194" s="16">
        <v>10290</v>
      </c>
      <c r="N194" s="16">
        <v>97960.8</v>
      </c>
      <c r="O194" s="15">
        <v>15640.800000000003</v>
      </c>
    </row>
    <row r="195" spans="1:15" x14ac:dyDescent="0.3">
      <c r="A195" s="2" t="s">
        <v>203</v>
      </c>
      <c r="B195" s="1" t="s">
        <v>657</v>
      </c>
      <c r="C195" s="6" t="str">
        <f t="shared" ref="C195:C258" si="3">TEXT(B195, "mmmm")</f>
        <v>March</v>
      </c>
      <c r="D195" s="1" t="s">
        <v>786</v>
      </c>
      <c r="E195" s="1" t="s">
        <v>791</v>
      </c>
      <c r="F195" s="1" t="s">
        <v>796</v>
      </c>
      <c r="G195" s="1" t="s">
        <v>802</v>
      </c>
      <c r="H195" s="1" t="s">
        <v>809</v>
      </c>
      <c r="I195" s="10" t="s">
        <v>814</v>
      </c>
      <c r="J195" s="1" t="s">
        <v>820</v>
      </c>
      <c r="K195" s="24">
        <v>66</v>
      </c>
      <c r="L195" s="25">
        <v>4</v>
      </c>
      <c r="M195" s="16">
        <v>26600</v>
      </c>
      <c r="N195" s="16">
        <v>129808</v>
      </c>
      <c r="O195" s="15">
        <v>23408</v>
      </c>
    </row>
    <row r="196" spans="1:15" x14ac:dyDescent="0.3">
      <c r="A196" s="2" t="s">
        <v>204</v>
      </c>
      <c r="B196" s="1" t="s">
        <v>658</v>
      </c>
      <c r="C196" s="6" t="str">
        <f t="shared" si="3"/>
        <v>October</v>
      </c>
      <c r="D196" s="1" t="s">
        <v>788</v>
      </c>
      <c r="E196" s="1" t="s">
        <v>792</v>
      </c>
      <c r="F196" s="1" t="s">
        <v>796</v>
      </c>
      <c r="G196" s="1" t="s">
        <v>800</v>
      </c>
      <c r="H196" s="1" t="s">
        <v>810</v>
      </c>
      <c r="I196" s="10" t="s">
        <v>812</v>
      </c>
      <c r="J196" s="1" t="s">
        <v>818</v>
      </c>
      <c r="K196" s="24">
        <v>36</v>
      </c>
      <c r="L196" s="25">
        <v>5</v>
      </c>
      <c r="M196" s="16">
        <v>142450</v>
      </c>
      <c r="N196" s="16">
        <v>868945</v>
      </c>
      <c r="O196" s="15">
        <v>156695</v>
      </c>
    </row>
    <row r="197" spans="1:15" x14ac:dyDescent="0.3">
      <c r="A197" s="2" t="s">
        <v>205</v>
      </c>
      <c r="B197" s="1" t="s">
        <v>659</v>
      </c>
      <c r="C197" s="6" t="str">
        <f t="shared" si="3"/>
        <v>June</v>
      </c>
      <c r="D197" s="1" t="s">
        <v>787</v>
      </c>
      <c r="E197" s="1" t="s">
        <v>791</v>
      </c>
      <c r="F197" s="1" t="s">
        <v>796</v>
      </c>
      <c r="G197" s="1" t="s">
        <v>799</v>
      </c>
      <c r="H197" s="1" t="s">
        <v>804</v>
      </c>
      <c r="I197" s="10" t="s">
        <v>814</v>
      </c>
      <c r="J197" s="1" t="s">
        <v>818</v>
      </c>
      <c r="K197" s="24">
        <v>90</v>
      </c>
      <c r="L197" s="25">
        <v>11</v>
      </c>
      <c r="M197" s="16">
        <v>58960</v>
      </c>
      <c r="N197" s="16">
        <v>791243.2</v>
      </c>
      <c r="O197" s="15">
        <v>142683.19999999995</v>
      </c>
    </row>
    <row r="198" spans="1:15" x14ac:dyDescent="0.3">
      <c r="A198" s="2" t="s">
        <v>206</v>
      </c>
      <c r="B198" s="1" t="s">
        <v>660</v>
      </c>
      <c r="C198" s="6" t="str">
        <f t="shared" si="3"/>
        <v>August</v>
      </c>
      <c r="D198" s="1" t="s">
        <v>789</v>
      </c>
      <c r="E198" s="1" t="s">
        <v>793</v>
      </c>
      <c r="F198" s="1" t="s">
        <v>794</v>
      </c>
      <c r="G198" s="1" t="s">
        <v>797</v>
      </c>
      <c r="H198" s="1" t="s">
        <v>808</v>
      </c>
      <c r="I198" s="10" t="s">
        <v>815</v>
      </c>
      <c r="J198" s="1" t="s">
        <v>819</v>
      </c>
      <c r="K198" s="24">
        <v>64</v>
      </c>
      <c r="L198" s="25">
        <v>18</v>
      </c>
      <c r="M198" s="16">
        <v>3502</v>
      </c>
      <c r="N198" s="16">
        <v>72491.399999999994</v>
      </c>
      <c r="O198" s="15">
        <v>9455.3999999999942</v>
      </c>
    </row>
    <row r="199" spans="1:15" x14ac:dyDescent="0.3">
      <c r="A199" s="2" t="s">
        <v>207</v>
      </c>
      <c r="B199" s="1" t="s">
        <v>661</v>
      </c>
      <c r="C199" s="6" t="str">
        <f t="shared" si="3"/>
        <v>August</v>
      </c>
      <c r="D199" s="1" t="s">
        <v>788</v>
      </c>
      <c r="E199" s="1" t="s">
        <v>793</v>
      </c>
      <c r="F199" s="1" t="s">
        <v>796</v>
      </c>
      <c r="G199" s="1" t="s">
        <v>799</v>
      </c>
      <c r="H199" s="1" t="s">
        <v>804</v>
      </c>
      <c r="I199" s="10" t="s">
        <v>812</v>
      </c>
      <c r="J199" s="1" t="s">
        <v>816</v>
      </c>
      <c r="K199" s="24">
        <v>60</v>
      </c>
      <c r="L199" s="25">
        <v>20</v>
      </c>
      <c r="M199" s="16">
        <v>40290</v>
      </c>
      <c r="N199" s="16">
        <v>983076</v>
      </c>
      <c r="O199" s="15">
        <v>177276</v>
      </c>
    </row>
    <row r="200" spans="1:15" x14ac:dyDescent="0.3">
      <c r="A200" s="2" t="s">
        <v>208</v>
      </c>
      <c r="B200" s="1" t="s">
        <v>662</v>
      </c>
      <c r="C200" s="6" t="str">
        <f t="shared" si="3"/>
        <v>September</v>
      </c>
      <c r="D200" s="1" t="s">
        <v>787</v>
      </c>
      <c r="E200" s="1" t="s">
        <v>792</v>
      </c>
      <c r="F200" s="1" t="s">
        <v>796</v>
      </c>
      <c r="G200" s="1" t="s">
        <v>799</v>
      </c>
      <c r="H200" s="1" t="s">
        <v>804</v>
      </c>
      <c r="I200" s="10" t="s">
        <v>812</v>
      </c>
      <c r="J200" s="1" t="s">
        <v>820</v>
      </c>
      <c r="K200" s="24">
        <v>17</v>
      </c>
      <c r="L200" s="25">
        <v>7</v>
      </c>
      <c r="M200" s="16">
        <v>654440</v>
      </c>
      <c r="N200" s="16">
        <v>5588917.5999999996</v>
      </c>
      <c r="O200" s="15">
        <v>1007837.5999999996</v>
      </c>
    </row>
    <row r="201" spans="1:15" x14ac:dyDescent="0.3">
      <c r="A201" s="2" t="s">
        <v>209</v>
      </c>
      <c r="B201" s="1" t="s">
        <v>661</v>
      </c>
      <c r="C201" s="6" t="str">
        <f t="shared" si="3"/>
        <v>August</v>
      </c>
      <c r="D201" s="1" t="s">
        <v>789</v>
      </c>
      <c r="E201" s="1" t="s">
        <v>792</v>
      </c>
      <c r="F201" s="1" t="s">
        <v>796</v>
      </c>
      <c r="G201" s="1" t="s">
        <v>802</v>
      </c>
      <c r="H201" s="1" t="s">
        <v>809</v>
      </c>
      <c r="I201" s="10" t="s">
        <v>814</v>
      </c>
      <c r="J201" s="1" t="s">
        <v>818</v>
      </c>
      <c r="K201" s="24">
        <v>99</v>
      </c>
      <c r="L201" s="25">
        <v>8</v>
      </c>
      <c r="M201" s="16">
        <v>166200</v>
      </c>
      <c r="N201" s="16">
        <v>1622112</v>
      </c>
      <c r="O201" s="15">
        <v>292512</v>
      </c>
    </row>
    <row r="202" spans="1:15" x14ac:dyDescent="0.3">
      <c r="A202" s="2" t="s">
        <v>210</v>
      </c>
      <c r="B202" s="1" t="s">
        <v>663</v>
      </c>
      <c r="C202" s="6" t="str">
        <f t="shared" si="3"/>
        <v>February</v>
      </c>
      <c r="D202" s="1" t="s">
        <v>787</v>
      </c>
      <c r="E202" s="1" t="s">
        <v>792</v>
      </c>
      <c r="F202" s="1" t="s">
        <v>795</v>
      </c>
      <c r="G202" s="1" t="s">
        <v>798</v>
      </c>
      <c r="H202" s="1" t="s">
        <v>805</v>
      </c>
      <c r="I202" s="10" t="s">
        <v>811</v>
      </c>
      <c r="J202" s="1" t="s">
        <v>819</v>
      </c>
      <c r="K202" s="24">
        <v>50</v>
      </c>
      <c r="L202" s="25">
        <v>13</v>
      </c>
      <c r="M202" s="16">
        <v>4583</v>
      </c>
      <c r="N202" s="16">
        <v>70899.009999999995</v>
      </c>
      <c r="O202" s="15">
        <v>11320.009999999995</v>
      </c>
    </row>
    <row r="203" spans="1:15" x14ac:dyDescent="0.3">
      <c r="A203" s="2" t="s">
        <v>211</v>
      </c>
      <c r="B203" s="1" t="s">
        <v>664</v>
      </c>
      <c r="C203" s="6" t="str">
        <f t="shared" si="3"/>
        <v>July</v>
      </c>
      <c r="D203" s="1" t="s">
        <v>784</v>
      </c>
      <c r="E203" s="1" t="s">
        <v>792</v>
      </c>
      <c r="F203" s="1" t="s">
        <v>794</v>
      </c>
      <c r="G203" s="1" t="s">
        <v>801</v>
      </c>
      <c r="H203" s="1" t="s">
        <v>806</v>
      </c>
      <c r="I203" s="10" t="s">
        <v>815</v>
      </c>
      <c r="J203" s="1" t="s">
        <v>818</v>
      </c>
      <c r="K203" s="24">
        <v>33</v>
      </c>
      <c r="L203" s="25">
        <v>17</v>
      </c>
      <c r="M203" s="16">
        <v>3819</v>
      </c>
      <c r="N203" s="16">
        <v>74661.45</v>
      </c>
      <c r="O203" s="15">
        <v>9738.4499999999971</v>
      </c>
    </row>
    <row r="204" spans="1:15" x14ac:dyDescent="0.3">
      <c r="A204" s="2" t="s">
        <v>212</v>
      </c>
      <c r="B204" s="1" t="s">
        <v>665</v>
      </c>
      <c r="C204" s="6" t="str">
        <f t="shared" si="3"/>
        <v>December</v>
      </c>
      <c r="D204" s="1" t="s">
        <v>788</v>
      </c>
      <c r="E204" s="1" t="s">
        <v>792</v>
      </c>
      <c r="F204" s="1" t="s">
        <v>796</v>
      </c>
      <c r="G204" s="1" t="s">
        <v>799</v>
      </c>
      <c r="H204" s="1" t="s">
        <v>804</v>
      </c>
      <c r="I204" s="10" t="s">
        <v>814</v>
      </c>
      <c r="J204" s="1" t="s">
        <v>819</v>
      </c>
      <c r="K204" s="24">
        <v>51</v>
      </c>
      <c r="L204" s="25">
        <v>17</v>
      </c>
      <c r="M204" s="16">
        <v>36400</v>
      </c>
      <c r="N204" s="16">
        <v>754936</v>
      </c>
      <c r="O204" s="15">
        <v>136136</v>
      </c>
    </row>
    <row r="205" spans="1:15" x14ac:dyDescent="0.3">
      <c r="A205" s="2" t="s">
        <v>213</v>
      </c>
      <c r="B205" s="1" t="s">
        <v>559</v>
      </c>
      <c r="C205" s="6" t="str">
        <f t="shared" si="3"/>
        <v>May</v>
      </c>
      <c r="D205" s="1" t="s">
        <v>784</v>
      </c>
      <c r="E205" s="1" t="s">
        <v>791</v>
      </c>
      <c r="F205" s="1" t="s">
        <v>795</v>
      </c>
      <c r="G205" s="1" t="s">
        <v>798</v>
      </c>
      <c r="H205" s="1" t="s">
        <v>805</v>
      </c>
      <c r="I205" s="10" t="s">
        <v>811</v>
      </c>
      <c r="J205" s="1" t="s">
        <v>819</v>
      </c>
      <c r="K205" s="24">
        <v>35</v>
      </c>
      <c r="L205" s="25">
        <v>12</v>
      </c>
      <c r="M205" s="16">
        <v>4691</v>
      </c>
      <c r="N205" s="16">
        <v>66987.48</v>
      </c>
      <c r="O205" s="15">
        <v>10695.479999999996</v>
      </c>
    </row>
    <row r="206" spans="1:15" x14ac:dyDescent="0.3">
      <c r="A206" s="2" t="s">
        <v>214</v>
      </c>
      <c r="B206" s="1" t="s">
        <v>666</v>
      </c>
      <c r="C206" s="6" t="str">
        <f t="shared" si="3"/>
        <v>July</v>
      </c>
      <c r="D206" s="1" t="s">
        <v>787</v>
      </c>
      <c r="E206" s="1" t="s">
        <v>791</v>
      </c>
      <c r="F206" s="1" t="s">
        <v>796</v>
      </c>
      <c r="G206" s="1" t="s">
        <v>802</v>
      </c>
      <c r="H206" s="1" t="s">
        <v>809</v>
      </c>
      <c r="I206" s="10" t="s">
        <v>814</v>
      </c>
      <c r="J206" s="1" t="s">
        <v>819</v>
      </c>
      <c r="K206" s="24">
        <v>25</v>
      </c>
      <c r="L206" s="25">
        <v>17</v>
      </c>
      <c r="M206" s="16">
        <v>137200</v>
      </c>
      <c r="N206" s="16">
        <v>2845528</v>
      </c>
      <c r="O206" s="15">
        <v>513128</v>
      </c>
    </row>
    <row r="207" spans="1:15" x14ac:dyDescent="0.3">
      <c r="A207" s="2" t="s">
        <v>215</v>
      </c>
      <c r="B207" s="1" t="s">
        <v>667</v>
      </c>
      <c r="C207" s="6" t="str">
        <f t="shared" si="3"/>
        <v>August</v>
      </c>
      <c r="D207" s="1" t="s">
        <v>787</v>
      </c>
      <c r="E207" s="1" t="s">
        <v>790</v>
      </c>
      <c r="F207" s="1" t="s">
        <v>796</v>
      </c>
      <c r="G207" s="1" t="s">
        <v>799</v>
      </c>
      <c r="H207" s="1" t="s">
        <v>804</v>
      </c>
      <c r="I207" s="10" t="s">
        <v>814</v>
      </c>
      <c r="J207" s="1" t="s">
        <v>819</v>
      </c>
      <c r="K207" s="24">
        <v>42</v>
      </c>
      <c r="L207" s="25">
        <v>6</v>
      </c>
      <c r="M207" s="16">
        <v>45300</v>
      </c>
      <c r="N207" s="16">
        <v>331596</v>
      </c>
      <c r="O207" s="15">
        <v>59796</v>
      </c>
    </row>
    <row r="208" spans="1:15" x14ac:dyDescent="0.3">
      <c r="A208" s="2" t="s">
        <v>216</v>
      </c>
      <c r="B208" s="1" t="s">
        <v>583</v>
      </c>
      <c r="C208" s="6" t="str">
        <f t="shared" si="3"/>
        <v>February</v>
      </c>
      <c r="D208" s="1" t="s">
        <v>785</v>
      </c>
      <c r="E208" s="1" t="s">
        <v>792</v>
      </c>
      <c r="F208" s="1" t="s">
        <v>796</v>
      </c>
      <c r="G208" s="1" t="s">
        <v>799</v>
      </c>
      <c r="H208" s="1" t="s">
        <v>804</v>
      </c>
      <c r="I208" s="10" t="s">
        <v>814</v>
      </c>
      <c r="J208" s="1" t="s">
        <v>817</v>
      </c>
      <c r="K208" s="24">
        <v>6</v>
      </c>
      <c r="L208" s="25">
        <v>17</v>
      </c>
      <c r="M208" s="16">
        <v>30520</v>
      </c>
      <c r="N208" s="16">
        <v>632984.80000000005</v>
      </c>
      <c r="O208" s="15">
        <v>114144.80000000005</v>
      </c>
    </row>
    <row r="209" spans="1:15" x14ac:dyDescent="0.3">
      <c r="A209" s="2" t="s">
        <v>217</v>
      </c>
      <c r="B209" s="1" t="s">
        <v>668</v>
      </c>
      <c r="C209" s="6" t="str">
        <f t="shared" si="3"/>
        <v>January</v>
      </c>
      <c r="D209" s="1" t="s">
        <v>789</v>
      </c>
      <c r="E209" s="1" t="s">
        <v>793</v>
      </c>
      <c r="F209" s="1" t="s">
        <v>796</v>
      </c>
      <c r="G209" s="1" t="s">
        <v>802</v>
      </c>
      <c r="H209" s="1" t="s">
        <v>809</v>
      </c>
      <c r="I209" s="10" t="s">
        <v>814</v>
      </c>
      <c r="J209" s="1" t="s">
        <v>816</v>
      </c>
      <c r="K209" s="24">
        <v>78</v>
      </c>
      <c r="L209" s="25">
        <v>17</v>
      </c>
      <c r="M209" s="16">
        <v>28900</v>
      </c>
      <c r="N209" s="16">
        <v>599386</v>
      </c>
      <c r="O209" s="15">
        <v>108086</v>
      </c>
    </row>
    <row r="210" spans="1:15" x14ac:dyDescent="0.3">
      <c r="A210" s="2" t="s">
        <v>218</v>
      </c>
      <c r="B210" s="1" t="s">
        <v>669</v>
      </c>
      <c r="C210" s="6" t="str">
        <f t="shared" si="3"/>
        <v>December</v>
      </c>
      <c r="D210" s="1" t="s">
        <v>789</v>
      </c>
      <c r="E210" s="1" t="s">
        <v>791</v>
      </c>
      <c r="F210" s="1" t="s">
        <v>795</v>
      </c>
      <c r="G210" s="1" t="s">
        <v>798</v>
      </c>
      <c r="H210" s="1" t="s">
        <v>805</v>
      </c>
      <c r="I210" s="10" t="s">
        <v>811</v>
      </c>
      <c r="J210" s="1" t="s">
        <v>817</v>
      </c>
      <c r="K210" s="24">
        <v>75</v>
      </c>
      <c r="L210" s="25">
        <v>6</v>
      </c>
      <c r="M210" s="16">
        <v>1219</v>
      </c>
      <c r="N210" s="16">
        <v>8703.66</v>
      </c>
      <c r="O210" s="15">
        <v>1389.6599999999999</v>
      </c>
    </row>
    <row r="211" spans="1:15" x14ac:dyDescent="0.3">
      <c r="A211" s="2" t="s">
        <v>219</v>
      </c>
      <c r="B211" s="1" t="s">
        <v>670</v>
      </c>
      <c r="C211" s="6" t="str">
        <f t="shared" si="3"/>
        <v>November</v>
      </c>
      <c r="D211" s="1" t="s">
        <v>787</v>
      </c>
      <c r="E211" s="1" t="s">
        <v>791</v>
      </c>
      <c r="F211" s="1" t="s">
        <v>796</v>
      </c>
      <c r="G211" s="1" t="s">
        <v>800</v>
      </c>
      <c r="H211" s="1" t="s">
        <v>810</v>
      </c>
      <c r="I211" s="10" t="s">
        <v>814</v>
      </c>
      <c r="J211" s="1" t="s">
        <v>819</v>
      </c>
      <c r="K211" s="24">
        <v>59</v>
      </c>
      <c r="L211" s="25">
        <v>16</v>
      </c>
      <c r="M211" s="16">
        <v>359700</v>
      </c>
      <c r="N211" s="16">
        <v>7021344</v>
      </c>
      <c r="O211" s="15">
        <v>1266144</v>
      </c>
    </row>
    <row r="212" spans="1:15" x14ac:dyDescent="0.3">
      <c r="A212" s="2" t="s">
        <v>220</v>
      </c>
      <c r="B212" s="1" t="s">
        <v>671</v>
      </c>
      <c r="C212" s="6" t="str">
        <f t="shared" si="3"/>
        <v>April</v>
      </c>
      <c r="D212" s="1" t="s">
        <v>788</v>
      </c>
      <c r="E212" s="1" t="s">
        <v>793</v>
      </c>
      <c r="F212" s="1" t="s">
        <v>794</v>
      </c>
      <c r="G212" s="1" t="s">
        <v>797</v>
      </c>
      <c r="H212" s="1" t="s">
        <v>808</v>
      </c>
      <c r="I212" s="10" t="s">
        <v>813</v>
      </c>
      <c r="J212" s="1" t="s">
        <v>820</v>
      </c>
      <c r="K212" s="24">
        <v>3</v>
      </c>
      <c r="L212" s="25">
        <v>5</v>
      </c>
      <c r="M212" s="16">
        <v>4670</v>
      </c>
      <c r="N212" s="16">
        <v>26852.5</v>
      </c>
      <c r="O212" s="15">
        <v>3502.5</v>
      </c>
    </row>
    <row r="213" spans="1:15" x14ac:dyDescent="0.3">
      <c r="A213" s="2" t="s">
        <v>221</v>
      </c>
      <c r="B213" s="1" t="s">
        <v>578</v>
      </c>
      <c r="C213" s="6" t="str">
        <f t="shared" si="3"/>
        <v>January</v>
      </c>
      <c r="D213" s="1" t="s">
        <v>785</v>
      </c>
      <c r="E213" s="1" t="s">
        <v>793</v>
      </c>
      <c r="F213" s="1" t="s">
        <v>795</v>
      </c>
      <c r="G213" s="1" t="s">
        <v>803</v>
      </c>
      <c r="H213" s="1" t="s">
        <v>807</v>
      </c>
      <c r="I213" s="10" t="s">
        <v>811</v>
      </c>
      <c r="J213" s="1" t="s">
        <v>816</v>
      </c>
      <c r="K213" s="24">
        <v>44</v>
      </c>
      <c r="L213" s="25">
        <v>11</v>
      </c>
      <c r="M213" s="16">
        <v>14990</v>
      </c>
      <c r="N213" s="16">
        <v>196219.1</v>
      </c>
      <c r="O213" s="15">
        <v>31329.100000000006</v>
      </c>
    </row>
    <row r="214" spans="1:15" x14ac:dyDescent="0.3">
      <c r="A214" s="2" t="s">
        <v>222</v>
      </c>
      <c r="B214" s="1" t="s">
        <v>672</v>
      </c>
      <c r="C214" s="6" t="str">
        <f t="shared" si="3"/>
        <v>August</v>
      </c>
      <c r="D214" s="1" t="s">
        <v>789</v>
      </c>
      <c r="E214" s="1" t="s">
        <v>792</v>
      </c>
      <c r="F214" s="1" t="s">
        <v>794</v>
      </c>
      <c r="G214" s="1" t="s">
        <v>801</v>
      </c>
      <c r="H214" s="1" t="s">
        <v>806</v>
      </c>
      <c r="I214" s="10" t="s">
        <v>815</v>
      </c>
      <c r="J214" s="1" t="s">
        <v>818</v>
      </c>
      <c r="K214" s="24">
        <v>75</v>
      </c>
      <c r="L214" s="25">
        <v>19</v>
      </c>
      <c r="M214" s="16">
        <v>1370</v>
      </c>
      <c r="N214" s="16">
        <v>29934.5</v>
      </c>
      <c r="O214" s="15">
        <v>3904.5</v>
      </c>
    </row>
    <row r="215" spans="1:15" x14ac:dyDescent="0.3">
      <c r="A215" s="2" t="s">
        <v>223</v>
      </c>
      <c r="B215" s="1" t="s">
        <v>673</v>
      </c>
      <c r="C215" s="6" t="str">
        <f t="shared" si="3"/>
        <v>February</v>
      </c>
      <c r="D215" s="1" t="s">
        <v>788</v>
      </c>
      <c r="E215" s="1" t="s">
        <v>790</v>
      </c>
      <c r="F215" s="1" t="s">
        <v>796</v>
      </c>
      <c r="G215" s="1" t="s">
        <v>799</v>
      </c>
      <c r="H215" s="1" t="s">
        <v>804</v>
      </c>
      <c r="I215" s="10" t="s">
        <v>814</v>
      </c>
      <c r="J215" s="1" t="s">
        <v>820</v>
      </c>
      <c r="K215" s="24">
        <v>53</v>
      </c>
      <c r="L215" s="25">
        <v>5</v>
      </c>
      <c r="M215" s="16">
        <v>41870</v>
      </c>
      <c r="N215" s="16">
        <v>255407</v>
      </c>
      <c r="O215" s="15">
        <v>46057</v>
      </c>
    </row>
    <row r="216" spans="1:15" x14ac:dyDescent="0.3">
      <c r="A216" s="2" t="s">
        <v>224</v>
      </c>
      <c r="B216" s="1" t="s">
        <v>606</v>
      </c>
      <c r="C216" s="6" t="str">
        <f t="shared" si="3"/>
        <v>June</v>
      </c>
      <c r="D216" s="1" t="s">
        <v>784</v>
      </c>
      <c r="E216" s="1" t="s">
        <v>792</v>
      </c>
      <c r="F216" s="1" t="s">
        <v>795</v>
      </c>
      <c r="G216" s="1" t="s">
        <v>798</v>
      </c>
      <c r="H216" s="1" t="s">
        <v>805</v>
      </c>
      <c r="I216" s="10" t="s">
        <v>811</v>
      </c>
      <c r="J216" s="1" t="s">
        <v>816</v>
      </c>
      <c r="K216" s="24">
        <v>22</v>
      </c>
      <c r="L216" s="25">
        <v>18</v>
      </c>
      <c r="M216" s="16">
        <v>1166</v>
      </c>
      <c r="N216" s="16">
        <v>24975.72</v>
      </c>
      <c r="O216" s="15">
        <v>3987.7200000000012</v>
      </c>
    </row>
    <row r="217" spans="1:15" x14ac:dyDescent="0.3">
      <c r="A217" s="2" t="s">
        <v>225</v>
      </c>
      <c r="B217" s="1" t="s">
        <v>563</v>
      </c>
      <c r="C217" s="6" t="str">
        <f t="shared" si="3"/>
        <v>May</v>
      </c>
      <c r="D217" s="1" t="s">
        <v>786</v>
      </c>
      <c r="E217" s="1" t="s">
        <v>790</v>
      </c>
      <c r="F217" s="1" t="s">
        <v>796</v>
      </c>
      <c r="G217" s="1" t="s">
        <v>800</v>
      </c>
      <c r="H217" s="1" t="s">
        <v>810</v>
      </c>
      <c r="I217" s="10" t="s">
        <v>814</v>
      </c>
      <c r="J217" s="1" t="s">
        <v>816</v>
      </c>
      <c r="K217" s="24">
        <v>74</v>
      </c>
      <c r="L217" s="25">
        <v>12</v>
      </c>
      <c r="M217" s="16">
        <v>144440</v>
      </c>
      <c r="N217" s="16">
        <v>2114601.6</v>
      </c>
      <c r="O217" s="15">
        <v>381321.60000000009</v>
      </c>
    </row>
    <row r="218" spans="1:15" x14ac:dyDescent="0.3">
      <c r="A218" s="2" t="s">
        <v>226</v>
      </c>
      <c r="B218" s="1" t="s">
        <v>674</v>
      </c>
      <c r="C218" s="6" t="str">
        <f t="shared" si="3"/>
        <v>September</v>
      </c>
      <c r="D218" s="1" t="s">
        <v>784</v>
      </c>
      <c r="E218" s="1" t="s">
        <v>791</v>
      </c>
      <c r="F218" s="1" t="s">
        <v>795</v>
      </c>
      <c r="G218" s="1" t="s">
        <v>798</v>
      </c>
      <c r="H218" s="1" t="s">
        <v>805</v>
      </c>
      <c r="I218" s="10" t="s">
        <v>811</v>
      </c>
      <c r="J218" s="1" t="s">
        <v>818</v>
      </c>
      <c r="K218" s="24">
        <v>60</v>
      </c>
      <c r="L218" s="25">
        <v>13</v>
      </c>
      <c r="M218" s="16">
        <v>985</v>
      </c>
      <c r="N218" s="16">
        <v>15237.95</v>
      </c>
      <c r="O218" s="15">
        <v>2432.9500000000007</v>
      </c>
    </row>
    <row r="219" spans="1:15" x14ac:dyDescent="0.3">
      <c r="A219" s="2" t="s">
        <v>227</v>
      </c>
      <c r="B219" s="1" t="s">
        <v>540</v>
      </c>
      <c r="C219" s="6" t="str">
        <f t="shared" si="3"/>
        <v>March</v>
      </c>
      <c r="D219" s="1" t="s">
        <v>787</v>
      </c>
      <c r="E219" s="1" t="s">
        <v>792</v>
      </c>
      <c r="F219" s="1" t="s">
        <v>796</v>
      </c>
      <c r="G219" s="1" t="s">
        <v>799</v>
      </c>
      <c r="H219" s="1" t="s">
        <v>804</v>
      </c>
      <c r="I219" s="10" t="s">
        <v>814</v>
      </c>
      <c r="J219" s="1" t="s">
        <v>820</v>
      </c>
      <c r="K219" s="24">
        <v>7</v>
      </c>
      <c r="L219" s="25">
        <v>13</v>
      </c>
      <c r="M219" s="16">
        <v>36620</v>
      </c>
      <c r="N219" s="16">
        <v>580793.19999999995</v>
      </c>
      <c r="O219" s="15">
        <v>104733.19999999995</v>
      </c>
    </row>
    <row r="220" spans="1:15" x14ac:dyDescent="0.3">
      <c r="A220" s="2" t="s">
        <v>228</v>
      </c>
      <c r="B220" s="1" t="s">
        <v>675</v>
      </c>
      <c r="C220" s="6" t="str">
        <f t="shared" si="3"/>
        <v>April</v>
      </c>
      <c r="D220" s="1" t="s">
        <v>789</v>
      </c>
      <c r="E220" s="1" t="s">
        <v>793</v>
      </c>
      <c r="F220" s="1" t="s">
        <v>794</v>
      </c>
      <c r="G220" s="1" t="s">
        <v>801</v>
      </c>
      <c r="H220" s="1" t="s">
        <v>806</v>
      </c>
      <c r="I220" s="10" t="s">
        <v>815</v>
      </c>
      <c r="J220" s="1" t="s">
        <v>818</v>
      </c>
      <c r="K220" s="24">
        <v>15</v>
      </c>
      <c r="L220" s="25">
        <v>7</v>
      </c>
      <c r="M220" s="16">
        <v>535</v>
      </c>
      <c r="N220" s="16">
        <v>4306.75</v>
      </c>
      <c r="O220" s="15">
        <v>561.75</v>
      </c>
    </row>
    <row r="221" spans="1:15" x14ac:dyDescent="0.3">
      <c r="A221" s="2" t="s">
        <v>229</v>
      </c>
      <c r="B221" s="1" t="s">
        <v>676</v>
      </c>
      <c r="C221" s="6" t="str">
        <f t="shared" si="3"/>
        <v>September</v>
      </c>
      <c r="D221" s="1" t="s">
        <v>785</v>
      </c>
      <c r="E221" s="1" t="s">
        <v>791</v>
      </c>
      <c r="F221" s="1" t="s">
        <v>795</v>
      </c>
      <c r="G221" s="1" t="s">
        <v>803</v>
      </c>
      <c r="H221" s="1" t="s">
        <v>807</v>
      </c>
      <c r="I221" s="10" t="s">
        <v>811</v>
      </c>
      <c r="J221" s="1" t="s">
        <v>816</v>
      </c>
      <c r="K221" s="24">
        <v>22</v>
      </c>
      <c r="L221" s="25">
        <v>4</v>
      </c>
      <c r="M221" s="16">
        <v>15190</v>
      </c>
      <c r="N221" s="16">
        <v>72304.399999999994</v>
      </c>
      <c r="O221" s="15">
        <v>11544.399999999994</v>
      </c>
    </row>
    <row r="222" spans="1:15" x14ac:dyDescent="0.3">
      <c r="A222" s="2" t="s">
        <v>230</v>
      </c>
      <c r="B222" s="1" t="s">
        <v>609</v>
      </c>
      <c r="C222" s="6" t="str">
        <f t="shared" si="3"/>
        <v>February</v>
      </c>
      <c r="D222" s="1" t="s">
        <v>788</v>
      </c>
      <c r="E222" s="1" t="s">
        <v>790</v>
      </c>
      <c r="F222" s="1" t="s">
        <v>796</v>
      </c>
      <c r="G222" s="1" t="s">
        <v>799</v>
      </c>
      <c r="H222" s="1" t="s">
        <v>804</v>
      </c>
      <c r="I222" s="10" t="s">
        <v>814</v>
      </c>
      <c r="J222" s="1" t="s">
        <v>819</v>
      </c>
      <c r="K222" s="24">
        <v>21</v>
      </c>
      <c r="L222" s="25">
        <v>20</v>
      </c>
      <c r="M222" s="16">
        <v>37540</v>
      </c>
      <c r="N222" s="16">
        <v>915976</v>
      </c>
      <c r="O222" s="15">
        <v>165176</v>
      </c>
    </row>
    <row r="223" spans="1:15" x14ac:dyDescent="0.3">
      <c r="A223" s="2" t="s">
        <v>231</v>
      </c>
      <c r="B223" s="1" t="s">
        <v>568</v>
      </c>
      <c r="C223" s="6" t="str">
        <f t="shared" si="3"/>
        <v>January</v>
      </c>
      <c r="D223" s="1" t="s">
        <v>785</v>
      </c>
      <c r="E223" s="1" t="s">
        <v>793</v>
      </c>
      <c r="F223" s="1" t="s">
        <v>796</v>
      </c>
      <c r="G223" s="1" t="s">
        <v>799</v>
      </c>
      <c r="H223" s="1" t="s">
        <v>804</v>
      </c>
      <c r="I223" s="10" t="s">
        <v>814</v>
      </c>
      <c r="J223" s="1" t="s">
        <v>819</v>
      </c>
      <c r="K223" s="24">
        <v>45</v>
      </c>
      <c r="L223" s="25">
        <v>8</v>
      </c>
      <c r="M223" s="16">
        <v>21540</v>
      </c>
      <c r="N223" s="16">
        <v>210230.39999999999</v>
      </c>
      <c r="O223" s="15">
        <v>37910.399999999994</v>
      </c>
    </row>
    <row r="224" spans="1:15" x14ac:dyDescent="0.3">
      <c r="A224" s="2" t="s">
        <v>232</v>
      </c>
      <c r="B224" s="1" t="s">
        <v>677</v>
      </c>
      <c r="C224" s="6" t="str">
        <f t="shared" si="3"/>
        <v>October</v>
      </c>
      <c r="D224" s="1" t="s">
        <v>784</v>
      </c>
      <c r="E224" s="1" t="s">
        <v>791</v>
      </c>
      <c r="F224" s="1" t="s">
        <v>796</v>
      </c>
      <c r="G224" s="1" t="s">
        <v>799</v>
      </c>
      <c r="H224" s="1" t="s">
        <v>804</v>
      </c>
      <c r="I224" s="10" t="s">
        <v>812</v>
      </c>
      <c r="J224" s="1" t="s">
        <v>817</v>
      </c>
      <c r="K224" s="24">
        <v>25</v>
      </c>
      <c r="L224" s="25">
        <v>18</v>
      </c>
      <c r="M224" s="16">
        <v>44870</v>
      </c>
      <c r="N224" s="16">
        <v>985345.2</v>
      </c>
      <c r="O224" s="15">
        <v>177685.19999999995</v>
      </c>
    </row>
    <row r="225" spans="1:15" x14ac:dyDescent="0.3">
      <c r="A225" s="2" t="s">
        <v>233</v>
      </c>
      <c r="B225" s="1" t="s">
        <v>678</v>
      </c>
      <c r="C225" s="6" t="str">
        <f t="shared" si="3"/>
        <v>July</v>
      </c>
      <c r="D225" s="1" t="s">
        <v>787</v>
      </c>
      <c r="E225" s="1" t="s">
        <v>791</v>
      </c>
      <c r="F225" s="1" t="s">
        <v>795</v>
      </c>
      <c r="G225" s="1" t="s">
        <v>803</v>
      </c>
      <c r="H225" s="1" t="s">
        <v>807</v>
      </c>
      <c r="I225" s="10" t="s">
        <v>811</v>
      </c>
      <c r="J225" s="1" t="s">
        <v>816</v>
      </c>
      <c r="K225" s="24">
        <v>76</v>
      </c>
      <c r="L225" s="25">
        <v>3</v>
      </c>
      <c r="M225" s="16">
        <v>35270</v>
      </c>
      <c r="N225" s="16">
        <v>125913.9</v>
      </c>
      <c r="O225" s="15">
        <v>20103.899999999994</v>
      </c>
    </row>
    <row r="226" spans="1:15" x14ac:dyDescent="0.3">
      <c r="A226" s="2" t="s">
        <v>234</v>
      </c>
      <c r="B226" s="1" t="s">
        <v>679</v>
      </c>
      <c r="C226" s="6" t="str">
        <f t="shared" si="3"/>
        <v>February</v>
      </c>
      <c r="D226" s="1" t="s">
        <v>789</v>
      </c>
      <c r="E226" s="1" t="s">
        <v>793</v>
      </c>
      <c r="F226" s="1" t="s">
        <v>795</v>
      </c>
      <c r="G226" s="1" t="s">
        <v>798</v>
      </c>
      <c r="H226" s="1" t="s">
        <v>805</v>
      </c>
      <c r="I226" s="10" t="s">
        <v>811</v>
      </c>
      <c r="J226" s="1" t="s">
        <v>819</v>
      </c>
      <c r="K226" s="24">
        <v>53</v>
      </c>
      <c r="L226" s="25">
        <v>18</v>
      </c>
      <c r="M226" s="16">
        <v>3011</v>
      </c>
      <c r="N226" s="16">
        <v>64495.62</v>
      </c>
      <c r="O226" s="15">
        <v>10297.620000000003</v>
      </c>
    </row>
    <row r="227" spans="1:15" x14ac:dyDescent="0.3">
      <c r="A227" s="2" t="s">
        <v>235</v>
      </c>
      <c r="B227" s="1" t="s">
        <v>617</v>
      </c>
      <c r="C227" s="6" t="str">
        <f t="shared" si="3"/>
        <v>February</v>
      </c>
      <c r="D227" s="1" t="s">
        <v>784</v>
      </c>
      <c r="E227" s="1" t="s">
        <v>790</v>
      </c>
      <c r="F227" s="1" t="s">
        <v>796</v>
      </c>
      <c r="G227" s="1" t="s">
        <v>800</v>
      </c>
      <c r="H227" s="1" t="s">
        <v>810</v>
      </c>
      <c r="I227" s="10" t="s">
        <v>814</v>
      </c>
      <c r="J227" s="1" t="s">
        <v>817</v>
      </c>
      <c r="K227" s="24">
        <v>61</v>
      </c>
      <c r="L227" s="25">
        <v>1</v>
      </c>
      <c r="M227" s="16">
        <v>144540</v>
      </c>
      <c r="N227" s="16">
        <v>176338.8</v>
      </c>
      <c r="O227" s="15">
        <v>31798.799999999988</v>
      </c>
    </row>
    <row r="228" spans="1:15" x14ac:dyDescent="0.3">
      <c r="A228" s="2" t="s">
        <v>236</v>
      </c>
      <c r="B228" s="1" t="s">
        <v>637</v>
      </c>
      <c r="C228" s="6" t="str">
        <f t="shared" si="3"/>
        <v>April</v>
      </c>
      <c r="D228" s="1" t="s">
        <v>788</v>
      </c>
      <c r="E228" s="1" t="s">
        <v>793</v>
      </c>
      <c r="F228" s="1" t="s">
        <v>795</v>
      </c>
      <c r="G228" s="1" t="s">
        <v>798</v>
      </c>
      <c r="H228" s="1" t="s">
        <v>805</v>
      </c>
      <c r="I228" s="10" t="s">
        <v>811</v>
      </c>
      <c r="J228" s="1" t="s">
        <v>819</v>
      </c>
      <c r="K228" s="24">
        <v>50</v>
      </c>
      <c r="L228" s="25">
        <v>20</v>
      </c>
      <c r="M228" s="16">
        <v>2083</v>
      </c>
      <c r="N228" s="16">
        <v>49575.4</v>
      </c>
      <c r="O228" s="15">
        <v>7915.4000000000015</v>
      </c>
    </row>
    <row r="229" spans="1:15" x14ac:dyDescent="0.3">
      <c r="A229" s="2" t="s">
        <v>237</v>
      </c>
      <c r="B229" s="1" t="s">
        <v>558</v>
      </c>
      <c r="C229" s="6" t="str">
        <f t="shared" si="3"/>
        <v>December</v>
      </c>
      <c r="D229" s="1" t="s">
        <v>789</v>
      </c>
      <c r="E229" s="1" t="s">
        <v>791</v>
      </c>
      <c r="F229" s="1" t="s">
        <v>796</v>
      </c>
      <c r="G229" s="1" t="s">
        <v>799</v>
      </c>
      <c r="H229" s="1" t="s">
        <v>804</v>
      </c>
      <c r="I229" s="10" t="s">
        <v>814</v>
      </c>
      <c r="J229" s="1" t="s">
        <v>819</v>
      </c>
      <c r="K229" s="24">
        <v>10</v>
      </c>
      <c r="L229" s="25">
        <v>16</v>
      </c>
      <c r="M229" s="16">
        <v>56666</v>
      </c>
      <c r="N229" s="16">
        <v>1106120.32</v>
      </c>
      <c r="O229" s="15">
        <v>199464.32000000007</v>
      </c>
    </row>
    <row r="230" spans="1:15" x14ac:dyDescent="0.3">
      <c r="A230" s="2" t="s">
        <v>238</v>
      </c>
      <c r="B230" s="1" t="s">
        <v>680</v>
      </c>
      <c r="C230" s="6" t="str">
        <f t="shared" si="3"/>
        <v>April</v>
      </c>
      <c r="D230" s="1" t="s">
        <v>784</v>
      </c>
      <c r="E230" s="1" t="s">
        <v>792</v>
      </c>
      <c r="F230" s="1" t="s">
        <v>795</v>
      </c>
      <c r="G230" s="1" t="s">
        <v>803</v>
      </c>
      <c r="H230" s="1" t="s">
        <v>807</v>
      </c>
      <c r="I230" s="10" t="s">
        <v>811</v>
      </c>
      <c r="J230" s="1" t="s">
        <v>816</v>
      </c>
      <c r="K230" s="24">
        <v>43</v>
      </c>
      <c r="L230" s="25">
        <v>5</v>
      </c>
      <c r="M230" s="16">
        <v>11290</v>
      </c>
      <c r="N230" s="16">
        <v>67175.5</v>
      </c>
      <c r="O230" s="15">
        <v>10725.5</v>
      </c>
    </row>
    <row r="231" spans="1:15" x14ac:dyDescent="0.3">
      <c r="A231" s="2" t="s">
        <v>239</v>
      </c>
      <c r="B231" s="1" t="s">
        <v>681</v>
      </c>
      <c r="C231" s="6" t="str">
        <f t="shared" si="3"/>
        <v>July</v>
      </c>
      <c r="D231" s="1" t="s">
        <v>784</v>
      </c>
      <c r="E231" s="1" t="s">
        <v>790</v>
      </c>
      <c r="F231" s="1" t="s">
        <v>796</v>
      </c>
      <c r="G231" s="1" t="s">
        <v>800</v>
      </c>
      <c r="H231" s="1" t="s">
        <v>810</v>
      </c>
      <c r="I231" s="10" t="s">
        <v>812</v>
      </c>
      <c r="J231" s="1" t="s">
        <v>818</v>
      </c>
      <c r="K231" s="24">
        <v>39</v>
      </c>
      <c r="L231" s="25">
        <v>2</v>
      </c>
      <c r="M231" s="16">
        <v>139480</v>
      </c>
      <c r="N231" s="16">
        <v>340331.2</v>
      </c>
      <c r="O231" s="15">
        <v>61371.200000000012</v>
      </c>
    </row>
    <row r="232" spans="1:15" x14ac:dyDescent="0.3">
      <c r="A232" s="2" t="s">
        <v>240</v>
      </c>
      <c r="B232" s="1" t="s">
        <v>634</v>
      </c>
      <c r="C232" s="6" t="str">
        <f t="shared" si="3"/>
        <v>May</v>
      </c>
      <c r="D232" s="1" t="s">
        <v>784</v>
      </c>
      <c r="E232" s="1" t="s">
        <v>792</v>
      </c>
      <c r="F232" s="1" t="s">
        <v>794</v>
      </c>
      <c r="G232" s="1" t="s">
        <v>801</v>
      </c>
      <c r="H232" s="1" t="s">
        <v>806</v>
      </c>
      <c r="I232" s="10" t="s">
        <v>815</v>
      </c>
      <c r="J232" s="1" t="s">
        <v>820</v>
      </c>
      <c r="K232" s="24">
        <v>0</v>
      </c>
      <c r="L232" s="25">
        <v>15</v>
      </c>
      <c r="M232" s="16">
        <v>858</v>
      </c>
      <c r="N232" s="16">
        <v>14800.5</v>
      </c>
      <c r="O232" s="15">
        <v>1930.5</v>
      </c>
    </row>
    <row r="233" spans="1:15" x14ac:dyDescent="0.3">
      <c r="A233" s="2" t="s">
        <v>241</v>
      </c>
      <c r="B233" s="1" t="s">
        <v>586</v>
      </c>
      <c r="C233" s="6" t="str">
        <f t="shared" si="3"/>
        <v>March</v>
      </c>
      <c r="D233" s="1" t="s">
        <v>788</v>
      </c>
      <c r="E233" s="1" t="s">
        <v>793</v>
      </c>
      <c r="F233" s="1" t="s">
        <v>794</v>
      </c>
      <c r="G233" s="1" t="s">
        <v>801</v>
      </c>
      <c r="H233" s="1" t="s">
        <v>806</v>
      </c>
      <c r="I233" s="10" t="s">
        <v>815</v>
      </c>
      <c r="J233" s="1" t="s">
        <v>820</v>
      </c>
      <c r="K233" s="24">
        <v>91</v>
      </c>
      <c r="L233" s="25">
        <v>12</v>
      </c>
      <c r="M233" s="16">
        <v>3706</v>
      </c>
      <c r="N233" s="16">
        <v>51142.8</v>
      </c>
      <c r="O233" s="15">
        <v>6670.8000000000029</v>
      </c>
    </row>
    <row r="234" spans="1:15" x14ac:dyDescent="0.3">
      <c r="A234" s="2" t="s">
        <v>242</v>
      </c>
      <c r="B234" s="1" t="s">
        <v>682</v>
      </c>
      <c r="C234" s="6" t="str">
        <f t="shared" si="3"/>
        <v>December</v>
      </c>
      <c r="D234" s="1" t="s">
        <v>786</v>
      </c>
      <c r="E234" s="1" t="s">
        <v>790</v>
      </c>
      <c r="F234" s="1" t="s">
        <v>796</v>
      </c>
      <c r="G234" s="1" t="s">
        <v>802</v>
      </c>
      <c r="H234" s="1" t="s">
        <v>809</v>
      </c>
      <c r="I234" s="10" t="s">
        <v>814</v>
      </c>
      <c r="J234" s="1" t="s">
        <v>818</v>
      </c>
      <c r="K234" s="24">
        <v>65</v>
      </c>
      <c r="L234" s="25">
        <v>8</v>
      </c>
      <c r="M234" s="16">
        <v>34170</v>
      </c>
      <c r="N234" s="16">
        <v>333499.2</v>
      </c>
      <c r="O234" s="15">
        <v>60139.200000000012</v>
      </c>
    </row>
    <row r="235" spans="1:15" x14ac:dyDescent="0.3">
      <c r="A235" s="2" t="s">
        <v>243</v>
      </c>
      <c r="B235" s="1" t="s">
        <v>622</v>
      </c>
      <c r="C235" s="6" t="str">
        <f t="shared" si="3"/>
        <v>May</v>
      </c>
      <c r="D235" s="1" t="s">
        <v>788</v>
      </c>
      <c r="E235" s="1" t="s">
        <v>792</v>
      </c>
      <c r="F235" s="1" t="s">
        <v>796</v>
      </c>
      <c r="G235" s="1" t="s">
        <v>799</v>
      </c>
      <c r="H235" s="1" t="s">
        <v>804</v>
      </c>
      <c r="I235" s="10" t="s">
        <v>814</v>
      </c>
      <c r="J235" s="1" t="s">
        <v>819</v>
      </c>
      <c r="K235" s="24">
        <v>3</v>
      </c>
      <c r="L235" s="25">
        <v>15</v>
      </c>
      <c r="M235" s="16">
        <v>78950</v>
      </c>
      <c r="N235" s="16">
        <v>1444785</v>
      </c>
      <c r="O235" s="15">
        <v>260535</v>
      </c>
    </row>
    <row r="236" spans="1:15" x14ac:dyDescent="0.3">
      <c r="A236" s="2" t="s">
        <v>244</v>
      </c>
      <c r="B236" s="1" t="s">
        <v>633</v>
      </c>
      <c r="C236" s="6" t="str">
        <f t="shared" si="3"/>
        <v>March</v>
      </c>
      <c r="D236" s="1" t="s">
        <v>784</v>
      </c>
      <c r="E236" s="1" t="s">
        <v>793</v>
      </c>
      <c r="F236" s="1" t="s">
        <v>794</v>
      </c>
      <c r="G236" s="1" t="s">
        <v>801</v>
      </c>
      <c r="H236" s="1" t="s">
        <v>806</v>
      </c>
      <c r="I236" s="10" t="s">
        <v>815</v>
      </c>
      <c r="J236" s="1" t="s">
        <v>816</v>
      </c>
      <c r="K236" s="24">
        <v>33</v>
      </c>
      <c r="L236" s="25">
        <v>10</v>
      </c>
      <c r="M236" s="16">
        <v>4337</v>
      </c>
      <c r="N236" s="16">
        <v>49875.5</v>
      </c>
      <c r="O236" s="15">
        <v>6505.5</v>
      </c>
    </row>
    <row r="237" spans="1:15" x14ac:dyDescent="0.3">
      <c r="A237" s="2" t="s">
        <v>245</v>
      </c>
      <c r="B237" s="1" t="s">
        <v>683</v>
      </c>
      <c r="C237" s="6" t="str">
        <f t="shared" si="3"/>
        <v>September</v>
      </c>
      <c r="D237" s="1" t="s">
        <v>788</v>
      </c>
      <c r="E237" s="1" t="s">
        <v>792</v>
      </c>
      <c r="F237" s="1" t="s">
        <v>795</v>
      </c>
      <c r="G237" s="1" t="s">
        <v>803</v>
      </c>
      <c r="H237" s="1" t="s">
        <v>807</v>
      </c>
      <c r="I237" s="10" t="s">
        <v>811</v>
      </c>
      <c r="J237" s="1" t="s">
        <v>817</v>
      </c>
      <c r="K237" s="24">
        <v>40</v>
      </c>
      <c r="L237" s="25">
        <v>5</v>
      </c>
      <c r="M237" s="16">
        <v>32140</v>
      </c>
      <c r="N237" s="16">
        <v>191233</v>
      </c>
      <c r="O237" s="15">
        <v>30533</v>
      </c>
    </row>
    <row r="238" spans="1:15" x14ac:dyDescent="0.3">
      <c r="A238" s="2" t="s">
        <v>246</v>
      </c>
      <c r="B238" s="1" t="s">
        <v>684</v>
      </c>
      <c r="C238" s="6" t="str">
        <f t="shared" si="3"/>
        <v>July</v>
      </c>
      <c r="D238" s="1" t="s">
        <v>784</v>
      </c>
      <c r="E238" s="1" t="s">
        <v>790</v>
      </c>
      <c r="F238" s="1" t="s">
        <v>794</v>
      </c>
      <c r="G238" s="1" t="s">
        <v>797</v>
      </c>
      <c r="H238" s="1" t="s">
        <v>808</v>
      </c>
      <c r="I238" s="10" t="s">
        <v>815</v>
      </c>
      <c r="J238" s="1" t="s">
        <v>818</v>
      </c>
      <c r="K238" s="24">
        <v>89</v>
      </c>
      <c r="L238" s="25">
        <v>9</v>
      </c>
      <c r="M238" s="16">
        <v>4289</v>
      </c>
      <c r="N238" s="16">
        <v>44391.15</v>
      </c>
      <c r="O238" s="15">
        <v>5790.1500000000015</v>
      </c>
    </row>
    <row r="239" spans="1:15" x14ac:dyDescent="0.3">
      <c r="A239" s="2" t="s">
        <v>247</v>
      </c>
      <c r="B239" s="1" t="s">
        <v>673</v>
      </c>
      <c r="C239" s="6" t="str">
        <f t="shared" si="3"/>
        <v>February</v>
      </c>
      <c r="D239" s="1" t="s">
        <v>785</v>
      </c>
      <c r="E239" s="1" t="s">
        <v>791</v>
      </c>
      <c r="F239" s="1" t="s">
        <v>795</v>
      </c>
      <c r="G239" s="1" t="s">
        <v>803</v>
      </c>
      <c r="H239" s="1" t="s">
        <v>807</v>
      </c>
      <c r="I239" s="10" t="s">
        <v>811</v>
      </c>
      <c r="J239" s="1" t="s">
        <v>819</v>
      </c>
      <c r="K239" s="24">
        <v>20</v>
      </c>
      <c r="L239" s="25">
        <v>6</v>
      </c>
      <c r="M239" s="16">
        <v>36200</v>
      </c>
      <c r="N239" s="16">
        <v>258468</v>
      </c>
      <c r="O239" s="15">
        <v>41268</v>
      </c>
    </row>
    <row r="240" spans="1:15" x14ac:dyDescent="0.3">
      <c r="A240" s="2" t="s">
        <v>248</v>
      </c>
      <c r="B240" s="1" t="s">
        <v>685</v>
      </c>
      <c r="C240" s="6" t="str">
        <f t="shared" si="3"/>
        <v>August</v>
      </c>
      <c r="D240" s="1" t="s">
        <v>787</v>
      </c>
      <c r="E240" s="1" t="s">
        <v>792</v>
      </c>
      <c r="F240" s="1" t="s">
        <v>796</v>
      </c>
      <c r="G240" s="1" t="s">
        <v>802</v>
      </c>
      <c r="H240" s="1" t="s">
        <v>809</v>
      </c>
      <c r="I240" s="10" t="s">
        <v>812</v>
      </c>
      <c r="J240" s="1" t="s">
        <v>818</v>
      </c>
      <c r="K240" s="24">
        <v>8</v>
      </c>
      <c r="L240" s="25">
        <v>19</v>
      </c>
      <c r="M240" s="16">
        <v>28300</v>
      </c>
      <c r="N240" s="16">
        <v>655994</v>
      </c>
      <c r="O240" s="15">
        <v>118294</v>
      </c>
    </row>
    <row r="241" spans="1:15" x14ac:dyDescent="0.3">
      <c r="A241" s="2" t="s">
        <v>249</v>
      </c>
      <c r="B241" s="1" t="s">
        <v>686</v>
      </c>
      <c r="C241" s="6" t="str">
        <f t="shared" si="3"/>
        <v>March</v>
      </c>
      <c r="D241" s="1" t="s">
        <v>784</v>
      </c>
      <c r="E241" s="1" t="s">
        <v>791</v>
      </c>
      <c r="F241" s="1" t="s">
        <v>794</v>
      </c>
      <c r="G241" s="1" t="s">
        <v>797</v>
      </c>
      <c r="H241" s="1" t="s">
        <v>808</v>
      </c>
      <c r="I241" s="10" t="s">
        <v>815</v>
      </c>
      <c r="J241" s="1" t="s">
        <v>819</v>
      </c>
      <c r="K241" s="24">
        <v>30</v>
      </c>
      <c r="L241" s="25">
        <v>20</v>
      </c>
      <c r="M241" s="16">
        <v>2655</v>
      </c>
      <c r="N241" s="16">
        <v>61065</v>
      </c>
      <c r="O241" s="15">
        <v>7965</v>
      </c>
    </row>
    <row r="242" spans="1:15" x14ac:dyDescent="0.3">
      <c r="A242" s="2" t="s">
        <v>250</v>
      </c>
      <c r="B242" s="1" t="s">
        <v>687</v>
      </c>
      <c r="C242" s="6" t="str">
        <f t="shared" si="3"/>
        <v>September</v>
      </c>
      <c r="D242" s="1" t="s">
        <v>789</v>
      </c>
      <c r="E242" s="1" t="s">
        <v>793</v>
      </c>
      <c r="F242" s="1" t="s">
        <v>794</v>
      </c>
      <c r="G242" s="1" t="s">
        <v>801</v>
      </c>
      <c r="H242" s="1" t="s">
        <v>806</v>
      </c>
      <c r="I242" s="10" t="s">
        <v>815</v>
      </c>
      <c r="J242" s="1" t="s">
        <v>819</v>
      </c>
      <c r="K242" s="24">
        <v>6</v>
      </c>
      <c r="L242" s="25">
        <v>2</v>
      </c>
      <c r="M242" s="16">
        <v>3931</v>
      </c>
      <c r="N242" s="16">
        <v>9041.2999999999993</v>
      </c>
      <c r="O242" s="15">
        <v>1179.2999999999993</v>
      </c>
    </row>
    <row r="243" spans="1:15" x14ac:dyDescent="0.3">
      <c r="A243" s="2" t="s">
        <v>251</v>
      </c>
      <c r="B243" s="1" t="s">
        <v>688</v>
      </c>
      <c r="C243" s="6" t="str">
        <f t="shared" si="3"/>
        <v>January</v>
      </c>
      <c r="D243" s="1" t="s">
        <v>788</v>
      </c>
      <c r="E243" s="1" t="s">
        <v>791</v>
      </c>
      <c r="F243" s="1" t="s">
        <v>796</v>
      </c>
      <c r="G243" s="1" t="s">
        <v>799</v>
      </c>
      <c r="H243" s="1" t="s">
        <v>804</v>
      </c>
      <c r="I243" s="10" t="s">
        <v>812</v>
      </c>
      <c r="J243" s="1" t="s">
        <v>820</v>
      </c>
      <c r="K243" s="24">
        <v>67</v>
      </c>
      <c r="L243" s="25">
        <v>20</v>
      </c>
      <c r="M243" s="16">
        <v>38210</v>
      </c>
      <c r="N243" s="16">
        <v>932324</v>
      </c>
      <c r="O243" s="15">
        <v>168124</v>
      </c>
    </row>
    <row r="244" spans="1:15" x14ac:dyDescent="0.3">
      <c r="A244" s="2" t="s">
        <v>252</v>
      </c>
      <c r="B244" s="1" t="s">
        <v>680</v>
      </c>
      <c r="C244" s="6" t="str">
        <f t="shared" si="3"/>
        <v>April</v>
      </c>
      <c r="D244" s="1" t="s">
        <v>786</v>
      </c>
      <c r="E244" s="1" t="s">
        <v>793</v>
      </c>
      <c r="F244" s="1" t="s">
        <v>794</v>
      </c>
      <c r="G244" s="1" t="s">
        <v>797</v>
      </c>
      <c r="H244" s="1" t="s">
        <v>808</v>
      </c>
      <c r="I244" s="10" t="s">
        <v>813</v>
      </c>
      <c r="J244" s="1" t="s">
        <v>816</v>
      </c>
      <c r="K244" s="24">
        <v>45</v>
      </c>
      <c r="L244" s="25">
        <v>10</v>
      </c>
      <c r="M244" s="16">
        <v>1861</v>
      </c>
      <c r="N244" s="16">
        <v>21401.5</v>
      </c>
      <c r="O244" s="15">
        <v>2791.5</v>
      </c>
    </row>
    <row r="245" spans="1:15" x14ac:dyDescent="0.3">
      <c r="A245" s="2" t="s">
        <v>253</v>
      </c>
      <c r="B245" s="1" t="s">
        <v>689</v>
      </c>
      <c r="C245" s="6" t="str">
        <f t="shared" si="3"/>
        <v>August</v>
      </c>
      <c r="D245" s="1" t="s">
        <v>789</v>
      </c>
      <c r="E245" s="1" t="s">
        <v>790</v>
      </c>
      <c r="F245" s="1" t="s">
        <v>796</v>
      </c>
      <c r="G245" s="1" t="s">
        <v>800</v>
      </c>
      <c r="H245" s="1" t="s">
        <v>810</v>
      </c>
      <c r="I245" s="10" t="s">
        <v>812</v>
      </c>
      <c r="J245" s="1" t="s">
        <v>818</v>
      </c>
      <c r="K245" s="24">
        <v>40</v>
      </c>
      <c r="L245" s="25">
        <v>13</v>
      </c>
      <c r="M245" s="16">
        <v>138000</v>
      </c>
      <c r="N245" s="16">
        <v>2188680</v>
      </c>
      <c r="O245" s="15">
        <v>394680</v>
      </c>
    </row>
    <row r="246" spans="1:15" x14ac:dyDescent="0.3">
      <c r="A246" s="2" t="s">
        <v>254</v>
      </c>
      <c r="B246" s="1" t="s">
        <v>536</v>
      </c>
      <c r="C246" s="6" t="str">
        <f t="shared" si="3"/>
        <v>July</v>
      </c>
      <c r="D246" s="1" t="s">
        <v>785</v>
      </c>
      <c r="E246" s="1" t="s">
        <v>792</v>
      </c>
      <c r="F246" s="1" t="s">
        <v>794</v>
      </c>
      <c r="G246" s="1" t="s">
        <v>801</v>
      </c>
      <c r="H246" s="1" t="s">
        <v>806</v>
      </c>
      <c r="I246" s="10" t="s">
        <v>815</v>
      </c>
      <c r="J246" s="1" t="s">
        <v>820</v>
      </c>
      <c r="K246" s="24">
        <v>38</v>
      </c>
      <c r="L246" s="25">
        <v>6</v>
      </c>
      <c r="M246" s="16">
        <v>1558</v>
      </c>
      <c r="N246" s="16">
        <v>10750.2</v>
      </c>
      <c r="O246" s="15">
        <v>1402.2000000000007</v>
      </c>
    </row>
    <row r="247" spans="1:15" x14ac:dyDescent="0.3">
      <c r="A247" s="2" t="s">
        <v>255</v>
      </c>
      <c r="B247" s="1" t="s">
        <v>690</v>
      </c>
      <c r="C247" s="6" t="str">
        <f t="shared" si="3"/>
        <v>November</v>
      </c>
      <c r="D247" s="1" t="s">
        <v>788</v>
      </c>
      <c r="E247" s="1" t="s">
        <v>790</v>
      </c>
      <c r="F247" s="1" t="s">
        <v>796</v>
      </c>
      <c r="G247" s="1" t="s">
        <v>799</v>
      </c>
      <c r="H247" s="1" t="s">
        <v>804</v>
      </c>
      <c r="I247" s="10" t="s">
        <v>812</v>
      </c>
      <c r="J247" s="1" t="s">
        <v>818</v>
      </c>
      <c r="K247" s="24">
        <v>55</v>
      </c>
      <c r="L247" s="25">
        <v>2</v>
      </c>
      <c r="M247" s="16">
        <v>65555</v>
      </c>
      <c r="N247" s="16">
        <v>159954.20000000001</v>
      </c>
      <c r="O247" s="15">
        <v>28844.200000000012</v>
      </c>
    </row>
    <row r="248" spans="1:15" x14ac:dyDescent="0.3">
      <c r="A248" s="2" t="s">
        <v>256</v>
      </c>
      <c r="B248" s="1" t="s">
        <v>555</v>
      </c>
      <c r="C248" s="6" t="str">
        <f t="shared" si="3"/>
        <v>July</v>
      </c>
      <c r="D248" s="1" t="s">
        <v>785</v>
      </c>
      <c r="E248" s="1" t="s">
        <v>791</v>
      </c>
      <c r="F248" s="1" t="s">
        <v>794</v>
      </c>
      <c r="G248" s="1" t="s">
        <v>801</v>
      </c>
      <c r="H248" s="1" t="s">
        <v>806</v>
      </c>
      <c r="I248" s="10" t="s">
        <v>815</v>
      </c>
      <c r="J248" s="1" t="s">
        <v>818</v>
      </c>
      <c r="K248" s="24">
        <v>62</v>
      </c>
      <c r="L248" s="25">
        <v>11</v>
      </c>
      <c r="M248" s="16">
        <v>665</v>
      </c>
      <c r="N248" s="16">
        <v>8412.25</v>
      </c>
      <c r="O248" s="15">
        <v>1097.25</v>
      </c>
    </row>
    <row r="249" spans="1:15" x14ac:dyDescent="0.3">
      <c r="A249" s="2" t="s">
        <v>257</v>
      </c>
      <c r="B249" s="1" t="s">
        <v>689</v>
      </c>
      <c r="C249" s="6" t="str">
        <f t="shared" si="3"/>
        <v>August</v>
      </c>
      <c r="D249" s="1" t="s">
        <v>785</v>
      </c>
      <c r="E249" s="1" t="s">
        <v>792</v>
      </c>
      <c r="F249" s="1" t="s">
        <v>794</v>
      </c>
      <c r="G249" s="1" t="s">
        <v>801</v>
      </c>
      <c r="H249" s="1" t="s">
        <v>806</v>
      </c>
      <c r="I249" s="10" t="s">
        <v>815</v>
      </c>
      <c r="J249" s="1" t="s">
        <v>817</v>
      </c>
      <c r="K249" s="24">
        <v>27</v>
      </c>
      <c r="L249" s="25">
        <v>10</v>
      </c>
      <c r="M249" s="16">
        <v>4603</v>
      </c>
      <c r="N249" s="16">
        <v>52934.5</v>
      </c>
      <c r="O249" s="15">
        <v>6904.5</v>
      </c>
    </row>
    <row r="250" spans="1:15" x14ac:dyDescent="0.3">
      <c r="A250" s="2" t="s">
        <v>258</v>
      </c>
      <c r="B250" s="1" t="s">
        <v>691</v>
      </c>
      <c r="C250" s="6" t="str">
        <f t="shared" si="3"/>
        <v>April</v>
      </c>
      <c r="D250" s="1" t="s">
        <v>788</v>
      </c>
      <c r="E250" s="1" t="s">
        <v>792</v>
      </c>
      <c r="F250" s="1" t="s">
        <v>796</v>
      </c>
      <c r="G250" s="1" t="s">
        <v>802</v>
      </c>
      <c r="H250" s="1" t="s">
        <v>809</v>
      </c>
      <c r="I250" s="10" t="s">
        <v>814</v>
      </c>
      <c r="J250" s="1" t="s">
        <v>820</v>
      </c>
      <c r="K250" s="24">
        <v>73</v>
      </c>
      <c r="L250" s="25">
        <v>2</v>
      </c>
      <c r="M250" s="16">
        <v>147400</v>
      </c>
      <c r="N250" s="16">
        <v>359656</v>
      </c>
      <c r="O250" s="15">
        <v>64856</v>
      </c>
    </row>
    <row r="251" spans="1:15" x14ac:dyDescent="0.3">
      <c r="A251" s="2" t="s">
        <v>259</v>
      </c>
      <c r="B251" s="1" t="s">
        <v>596</v>
      </c>
      <c r="C251" s="6" t="str">
        <f t="shared" si="3"/>
        <v>March</v>
      </c>
      <c r="D251" s="1" t="s">
        <v>785</v>
      </c>
      <c r="E251" s="1" t="s">
        <v>792</v>
      </c>
      <c r="F251" s="1" t="s">
        <v>796</v>
      </c>
      <c r="G251" s="1" t="s">
        <v>799</v>
      </c>
      <c r="H251" s="1" t="s">
        <v>804</v>
      </c>
      <c r="I251" s="10" t="s">
        <v>814</v>
      </c>
      <c r="J251" s="1" t="s">
        <v>818</v>
      </c>
      <c r="K251" s="24">
        <v>57</v>
      </c>
      <c r="L251" s="25">
        <v>3</v>
      </c>
      <c r="M251" s="16">
        <v>77770</v>
      </c>
      <c r="N251" s="16">
        <v>284638.2</v>
      </c>
      <c r="O251" s="15">
        <v>51328.200000000012</v>
      </c>
    </row>
    <row r="252" spans="1:15" x14ac:dyDescent="0.3">
      <c r="A252" s="2" t="s">
        <v>260</v>
      </c>
      <c r="B252" s="1" t="s">
        <v>624</v>
      </c>
      <c r="C252" s="6" t="str">
        <f t="shared" si="3"/>
        <v>December</v>
      </c>
      <c r="D252" s="1" t="s">
        <v>786</v>
      </c>
      <c r="E252" s="1" t="s">
        <v>790</v>
      </c>
      <c r="F252" s="1" t="s">
        <v>796</v>
      </c>
      <c r="G252" s="1" t="s">
        <v>802</v>
      </c>
      <c r="H252" s="1" t="s">
        <v>809</v>
      </c>
      <c r="I252" s="10" t="s">
        <v>812</v>
      </c>
      <c r="J252" s="1" t="s">
        <v>818</v>
      </c>
      <c r="K252" s="24">
        <v>44</v>
      </c>
      <c r="L252" s="25">
        <v>18</v>
      </c>
      <c r="M252" s="16">
        <v>99700</v>
      </c>
      <c r="N252" s="16">
        <v>2189412</v>
      </c>
      <c r="O252" s="15">
        <v>394812</v>
      </c>
    </row>
    <row r="253" spans="1:15" x14ac:dyDescent="0.3">
      <c r="A253" s="2" t="s">
        <v>261</v>
      </c>
      <c r="B253" s="1" t="s">
        <v>585</v>
      </c>
      <c r="C253" s="6" t="str">
        <f t="shared" si="3"/>
        <v>September</v>
      </c>
      <c r="D253" s="1" t="s">
        <v>786</v>
      </c>
      <c r="E253" s="1" t="s">
        <v>790</v>
      </c>
      <c r="F253" s="1" t="s">
        <v>795</v>
      </c>
      <c r="G253" s="1" t="s">
        <v>803</v>
      </c>
      <c r="H253" s="1" t="s">
        <v>807</v>
      </c>
      <c r="I253" s="10" t="s">
        <v>811</v>
      </c>
      <c r="J253" s="1" t="s">
        <v>818</v>
      </c>
      <c r="K253" s="24">
        <v>16</v>
      </c>
      <c r="L253" s="25">
        <v>19</v>
      </c>
      <c r="M253" s="16">
        <v>14530</v>
      </c>
      <c r="N253" s="16">
        <v>328523.3</v>
      </c>
      <c r="O253" s="15">
        <v>52453.299999999988</v>
      </c>
    </row>
    <row r="254" spans="1:15" x14ac:dyDescent="0.3">
      <c r="A254" s="2" t="s">
        <v>262</v>
      </c>
      <c r="B254" s="1" t="s">
        <v>692</v>
      </c>
      <c r="C254" s="6" t="str">
        <f t="shared" si="3"/>
        <v>October</v>
      </c>
      <c r="D254" s="1" t="s">
        <v>788</v>
      </c>
      <c r="E254" s="1" t="s">
        <v>792</v>
      </c>
      <c r="F254" s="1" t="s">
        <v>796</v>
      </c>
      <c r="G254" s="1" t="s">
        <v>802</v>
      </c>
      <c r="H254" s="1" t="s">
        <v>809</v>
      </c>
      <c r="I254" s="10" t="s">
        <v>812</v>
      </c>
      <c r="J254" s="1" t="s">
        <v>817</v>
      </c>
      <c r="K254" s="24">
        <v>80</v>
      </c>
      <c r="L254" s="25">
        <v>3</v>
      </c>
      <c r="M254" s="16">
        <v>38970</v>
      </c>
      <c r="N254" s="16">
        <v>142630.20000000001</v>
      </c>
      <c r="O254" s="15">
        <v>25720.200000000012</v>
      </c>
    </row>
    <row r="255" spans="1:15" x14ac:dyDescent="0.3">
      <c r="A255" s="2" t="s">
        <v>263</v>
      </c>
      <c r="B255" s="1" t="s">
        <v>693</v>
      </c>
      <c r="C255" s="6" t="str">
        <f t="shared" si="3"/>
        <v>January</v>
      </c>
      <c r="D255" s="1" t="s">
        <v>785</v>
      </c>
      <c r="E255" s="1" t="s">
        <v>790</v>
      </c>
      <c r="F255" s="1" t="s">
        <v>795</v>
      </c>
      <c r="G255" s="1" t="s">
        <v>798</v>
      </c>
      <c r="H255" s="1" t="s">
        <v>805</v>
      </c>
      <c r="I255" s="10" t="s">
        <v>811</v>
      </c>
      <c r="J255" s="1" t="s">
        <v>818</v>
      </c>
      <c r="K255" s="24">
        <v>37</v>
      </c>
      <c r="L255" s="25">
        <v>20</v>
      </c>
      <c r="M255" s="16">
        <v>4095</v>
      </c>
      <c r="N255" s="16">
        <v>97461</v>
      </c>
      <c r="O255" s="15">
        <v>15561</v>
      </c>
    </row>
    <row r="256" spans="1:15" x14ac:dyDescent="0.3">
      <c r="A256" s="2" t="s">
        <v>264</v>
      </c>
      <c r="B256" s="1" t="s">
        <v>636</v>
      </c>
      <c r="C256" s="6" t="str">
        <f t="shared" si="3"/>
        <v>August</v>
      </c>
      <c r="D256" s="1" t="s">
        <v>787</v>
      </c>
      <c r="E256" s="1" t="s">
        <v>792</v>
      </c>
      <c r="F256" s="1" t="s">
        <v>796</v>
      </c>
      <c r="G256" s="1" t="s">
        <v>799</v>
      </c>
      <c r="H256" s="1" t="s">
        <v>804</v>
      </c>
      <c r="I256" s="10" t="s">
        <v>812</v>
      </c>
      <c r="J256" s="1" t="s">
        <v>816</v>
      </c>
      <c r="K256" s="24">
        <v>88</v>
      </c>
      <c r="L256" s="25">
        <v>2</v>
      </c>
      <c r="M256" s="16">
        <v>88880</v>
      </c>
      <c r="N256" s="16">
        <v>216867.20000000001</v>
      </c>
      <c r="O256" s="15">
        <v>39107.200000000012</v>
      </c>
    </row>
    <row r="257" spans="1:15" x14ac:dyDescent="0.3">
      <c r="A257" s="2" t="s">
        <v>265</v>
      </c>
      <c r="B257" s="1" t="s">
        <v>620</v>
      </c>
      <c r="C257" s="6" t="str">
        <f t="shared" si="3"/>
        <v>July</v>
      </c>
      <c r="D257" s="1" t="s">
        <v>787</v>
      </c>
      <c r="E257" s="1" t="s">
        <v>790</v>
      </c>
      <c r="F257" s="1" t="s">
        <v>794</v>
      </c>
      <c r="G257" s="1" t="s">
        <v>801</v>
      </c>
      <c r="H257" s="1" t="s">
        <v>806</v>
      </c>
      <c r="I257" s="10" t="s">
        <v>815</v>
      </c>
      <c r="J257" s="1" t="s">
        <v>817</v>
      </c>
      <c r="K257" s="24">
        <v>82</v>
      </c>
      <c r="L257" s="25">
        <v>11</v>
      </c>
      <c r="M257" s="16">
        <v>4043</v>
      </c>
      <c r="N257" s="16">
        <v>51143.95</v>
      </c>
      <c r="O257" s="15">
        <v>6670.9499999999971</v>
      </c>
    </row>
    <row r="258" spans="1:15" x14ac:dyDescent="0.3">
      <c r="A258" s="2" t="s">
        <v>266</v>
      </c>
      <c r="B258" s="1" t="s">
        <v>694</v>
      </c>
      <c r="C258" s="6" t="str">
        <f t="shared" si="3"/>
        <v>December</v>
      </c>
      <c r="D258" s="1" t="s">
        <v>787</v>
      </c>
      <c r="E258" s="1" t="s">
        <v>792</v>
      </c>
      <c r="F258" s="1" t="s">
        <v>795</v>
      </c>
      <c r="G258" s="1" t="s">
        <v>798</v>
      </c>
      <c r="H258" s="1" t="s">
        <v>805</v>
      </c>
      <c r="I258" s="10" t="s">
        <v>811</v>
      </c>
      <c r="J258" s="1" t="s">
        <v>819</v>
      </c>
      <c r="K258" s="24">
        <v>44</v>
      </c>
      <c r="L258" s="25">
        <v>5</v>
      </c>
      <c r="M258" s="16">
        <v>2424</v>
      </c>
      <c r="N258" s="16">
        <v>14422.8</v>
      </c>
      <c r="O258" s="15">
        <v>2302.7999999999993</v>
      </c>
    </row>
    <row r="259" spans="1:15" x14ac:dyDescent="0.3">
      <c r="A259" s="2" t="s">
        <v>267</v>
      </c>
      <c r="B259" s="1" t="s">
        <v>633</v>
      </c>
      <c r="C259" s="6" t="str">
        <f t="shared" ref="C259:C322" si="4">TEXT(B259, "mmmm")</f>
        <v>March</v>
      </c>
      <c r="D259" s="1" t="s">
        <v>789</v>
      </c>
      <c r="E259" s="1" t="s">
        <v>791</v>
      </c>
      <c r="F259" s="1" t="s">
        <v>794</v>
      </c>
      <c r="G259" s="1" t="s">
        <v>797</v>
      </c>
      <c r="H259" s="1" t="s">
        <v>808</v>
      </c>
      <c r="I259" s="10" t="s">
        <v>813</v>
      </c>
      <c r="J259" s="1" t="s">
        <v>820</v>
      </c>
      <c r="K259" s="24">
        <v>89</v>
      </c>
      <c r="L259" s="25">
        <v>15</v>
      </c>
      <c r="M259" s="16">
        <v>1659</v>
      </c>
      <c r="N259" s="16">
        <v>28617.75</v>
      </c>
      <c r="O259" s="15">
        <v>3732.75</v>
      </c>
    </row>
    <row r="260" spans="1:15" x14ac:dyDescent="0.3">
      <c r="A260" s="2" t="s">
        <v>268</v>
      </c>
      <c r="B260" s="1" t="s">
        <v>695</v>
      </c>
      <c r="C260" s="6" t="str">
        <f t="shared" si="4"/>
        <v>October</v>
      </c>
      <c r="D260" s="1" t="s">
        <v>784</v>
      </c>
      <c r="E260" s="1" t="s">
        <v>790</v>
      </c>
      <c r="F260" s="1" t="s">
        <v>795</v>
      </c>
      <c r="G260" s="1" t="s">
        <v>798</v>
      </c>
      <c r="H260" s="1" t="s">
        <v>805</v>
      </c>
      <c r="I260" s="10" t="s">
        <v>811</v>
      </c>
      <c r="J260" s="1" t="s">
        <v>819</v>
      </c>
      <c r="K260" s="24">
        <v>58</v>
      </c>
      <c r="L260" s="25">
        <v>4</v>
      </c>
      <c r="M260" s="16">
        <v>2991</v>
      </c>
      <c r="N260" s="16">
        <v>14237.16</v>
      </c>
      <c r="O260" s="15">
        <v>2273.16</v>
      </c>
    </row>
    <row r="261" spans="1:15" x14ac:dyDescent="0.3">
      <c r="A261" s="2" t="s">
        <v>269</v>
      </c>
      <c r="B261" s="1" t="s">
        <v>696</v>
      </c>
      <c r="C261" s="6" t="str">
        <f t="shared" si="4"/>
        <v>April</v>
      </c>
      <c r="D261" s="1" t="s">
        <v>789</v>
      </c>
      <c r="E261" s="1" t="s">
        <v>791</v>
      </c>
      <c r="F261" s="1" t="s">
        <v>796</v>
      </c>
      <c r="G261" s="1" t="s">
        <v>802</v>
      </c>
      <c r="H261" s="1" t="s">
        <v>809</v>
      </c>
      <c r="I261" s="10" t="s">
        <v>812</v>
      </c>
      <c r="J261" s="1" t="s">
        <v>820</v>
      </c>
      <c r="K261" s="24">
        <v>88</v>
      </c>
      <c r="L261" s="25">
        <v>8</v>
      </c>
      <c r="M261" s="16">
        <v>162500</v>
      </c>
      <c r="N261" s="16">
        <v>1586000</v>
      </c>
      <c r="O261" s="15">
        <v>286000</v>
      </c>
    </row>
    <row r="262" spans="1:15" x14ac:dyDescent="0.3">
      <c r="A262" s="2" t="s">
        <v>270</v>
      </c>
      <c r="B262" s="1" t="s">
        <v>673</v>
      </c>
      <c r="C262" s="6" t="str">
        <f t="shared" si="4"/>
        <v>February</v>
      </c>
      <c r="D262" s="1" t="s">
        <v>788</v>
      </c>
      <c r="E262" s="1" t="s">
        <v>793</v>
      </c>
      <c r="F262" s="1" t="s">
        <v>796</v>
      </c>
      <c r="G262" s="1" t="s">
        <v>800</v>
      </c>
      <c r="H262" s="1" t="s">
        <v>810</v>
      </c>
      <c r="I262" s="10" t="s">
        <v>812</v>
      </c>
      <c r="J262" s="1" t="s">
        <v>819</v>
      </c>
      <c r="K262" s="24">
        <v>85</v>
      </c>
      <c r="L262" s="25">
        <v>13</v>
      </c>
      <c r="M262" s="16">
        <v>85200</v>
      </c>
      <c r="N262" s="16">
        <v>1351272</v>
      </c>
      <c r="O262" s="15">
        <v>243672</v>
      </c>
    </row>
    <row r="263" spans="1:15" x14ac:dyDescent="0.3">
      <c r="A263" s="2" t="s">
        <v>271</v>
      </c>
      <c r="B263" s="1" t="s">
        <v>697</v>
      </c>
      <c r="C263" s="6" t="str">
        <f t="shared" si="4"/>
        <v>November</v>
      </c>
      <c r="D263" s="1" t="s">
        <v>785</v>
      </c>
      <c r="E263" s="1" t="s">
        <v>790</v>
      </c>
      <c r="F263" s="1" t="s">
        <v>795</v>
      </c>
      <c r="G263" s="1" t="s">
        <v>803</v>
      </c>
      <c r="H263" s="1" t="s">
        <v>807</v>
      </c>
      <c r="I263" s="10" t="s">
        <v>811</v>
      </c>
      <c r="J263" s="1" t="s">
        <v>819</v>
      </c>
      <c r="K263" s="24">
        <v>73</v>
      </c>
      <c r="L263" s="25">
        <v>17</v>
      </c>
      <c r="M263" s="16">
        <v>18600</v>
      </c>
      <c r="N263" s="16">
        <v>376278</v>
      </c>
      <c r="O263" s="15">
        <v>60078</v>
      </c>
    </row>
    <row r="264" spans="1:15" x14ac:dyDescent="0.3">
      <c r="A264" s="2" t="s">
        <v>272</v>
      </c>
      <c r="B264" s="1" t="s">
        <v>611</v>
      </c>
      <c r="C264" s="6" t="str">
        <f t="shared" si="4"/>
        <v>March</v>
      </c>
      <c r="D264" s="1" t="s">
        <v>785</v>
      </c>
      <c r="E264" s="1" t="s">
        <v>792</v>
      </c>
      <c r="F264" s="1" t="s">
        <v>795</v>
      </c>
      <c r="G264" s="1" t="s">
        <v>798</v>
      </c>
      <c r="H264" s="1" t="s">
        <v>805</v>
      </c>
      <c r="I264" s="10" t="s">
        <v>811</v>
      </c>
      <c r="J264" s="1" t="s">
        <v>817</v>
      </c>
      <c r="K264" s="24">
        <v>80</v>
      </c>
      <c r="L264" s="25">
        <v>1</v>
      </c>
      <c r="M264" s="16">
        <v>4485</v>
      </c>
      <c r="N264" s="16">
        <v>5337.15</v>
      </c>
      <c r="O264" s="15">
        <v>852.14999999999964</v>
      </c>
    </row>
    <row r="265" spans="1:15" x14ac:dyDescent="0.3">
      <c r="A265" s="2" t="s">
        <v>273</v>
      </c>
      <c r="B265" s="1" t="s">
        <v>698</v>
      </c>
      <c r="C265" s="6" t="str">
        <f t="shared" si="4"/>
        <v>February</v>
      </c>
      <c r="D265" s="1" t="s">
        <v>789</v>
      </c>
      <c r="E265" s="1" t="s">
        <v>790</v>
      </c>
      <c r="F265" s="1" t="s">
        <v>796</v>
      </c>
      <c r="G265" s="1" t="s">
        <v>799</v>
      </c>
      <c r="H265" s="1" t="s">
        <v>804</v>
      </c>
      <c r="I265" s="10" t="s">
        <v>812</v>
      </c>
      <c r="J265" s="1" t="s">
        <v>818</v>
      </c>
      <c r="K265" s="24">
        <v>51</v>
      </c>
      <c r="L265" s="25">
        <v>13</v>
      </c>
      <c r="M265" s="16">
        <v>99999</v>
      </c>
      <c r="N265" s="16">
        <v>1585984.1400000001</v>
      </c>
      <c r="O265" s="15">
        <v>285997.14000000013</v>
      </c>
    </row>
    <row r="266" spans="1:15" x14ac:dyDescent="0.3">
      <c r="A266" s="2" t="s">
        <v>274</v>
      </c>
      <c r="B266" s="1" t="s">
        <v>699</v>
      </c>
      <c r="C266" s="6" t="str">
        <f t="shared" si="4"/>
        <v>December</v>
      </c>
      <c r="D266" s="1" t="s">
        <v>789</v>
      </c>
      <c r="E266" s="1" t="s">
        <v>793</v>
      </c>
      <c r="F266" s="1" t="s">
        <v>796</v>
      </c>
      <c r="G266" s="1" t="s">
        <v>802</v>
      </c>
      <c r="H266" s="1" t="s">
        <v>809</v>
      </c>
      <c r="I266" s="10" t="s">
        <v>812</v>
      </c>
      <c r="J266" s="1" t="s">
        <v>817</v>
      </c>
      <c r="K266" s="24">
        <v>11</v>
      </c>
      <c r="L266" s="25">
        <v>14</v>
      </c>
      <c r="M266" s="16">
        <v>92300</v>
      </c>
      <c r="N266" s="16">
        <v>1576484</v>
      </c>
      <c r="O266" s="15">
        <v>284284</v>
      </c>
    </row>
    <row r="267" spans="1:15" x14ac:dyDescent="0.3">
      <c r="A267" s="2" t="s">
        <v>275</v>
      </c>
      <c r="B267" s="1" t="s">
        <v>690</v>
      </c>
      <c r="C267" s="6" t="str">
        <f t="shared" si="4"/>
        <v>November</v>
      </c>
      <c r="D267" s="1" t="s">
        <v>784</v>
      </c>
      <c r="E267" s="1" t="s">
        <v>790</v>
      </c>
      <c r="F267" s="1" t="s">
        <v>796</v>
      </c>
      <c r="G267" s="1" t="s">
        <v>802</v>
      </c>
      <c r="H267" s="1" t="s">
        <v>809</v>
      </c>
      <c r="I267" s="10" t="s">
        <v>812</v>
      </c>
      <c r="J267" s="1" t="s">
        <v>816</v>
      </c>
      <c r="K267" s="24">
        <v>92</v>
      </c>
      <c r="L267" s="25">
        <v>14</v>
      </c>
      <c r="M267" s="16">
        <v>161900</v>
      </c>
      <c r="N267" s="16">
        <v>2765252</v>
      </c>
      <c r="O267" s="15">
        <v>498652</v>
      </c>
    </row>
    <row r="268" spans="1:15" x14ac:dyDescent="0.3">
      <c r="A268" s="2" t="s">
        <v>276</v>
      </c>
      <c r="B268" s="1" t="s">
        <v>700</v>
      </c>
      <c r="C268" s="6" t="str">
        <f t="shared" si="4"/>
        <v>July</v>
      </c>
      <c r="D268" s="1" t="s">
        <v>787</v>
      </c>
      <c r="E268" s="1" t="s">
        <v>790</v>
      </c>
      <c r="F268" s="1" t="s">
        <v>796</v>
      </c>
      <c r="G268" s="1" t="s">
        <v>800</v>
      </c>
      <c r="H268" s="1" t="s">
        <v>810</v>
      </c>
      <c r="I268" s="10" t="s">
        <v>814</v>
      </c>
      <c r="J268" s="1" t="s">
        <v>819</v>
      </c>
      <c r="K268" s="24">
        <v>94</v>
      </c>
      <c r="L268" s="25">
        <v>6</v>
      </c>
      <c r="M268" s="16">
        <v>450200</v>
      </c>
      <c r="N268" s="16">
        <v>3295464</v>
      </c>
      <c r="O268" s="15">
        <v>594264</v>
      </c>
    </row>
    <row r="269" spans="1:15" x14ac:dyDescent="0.3">
      <c r="A269" s="2" t="s">
        <v>277</v>
      </c>
      <c r="B269" s="1" t="s">
        <v>701</v>
      </c>
      <c r="C269" s="6" t="str">
        <f t="shared" si="4"/>
        <v>July</v>
      </c>
      <c r="D269" s="1" t="s">
        <v>788</v>
      </c>
      <c r="E269" s="1" t="s">
        <v>793</v>
      </c>
      <c r="F269" s="1" t="s">
        <v>796</v>
      </c>
      <c r="G269" s="1" t="s">
        <v>799</v>
      </c>
      <c r="H269" s="1" t="s">
        <v>804</v>
      </c>
      <c r="I269" s="10" t="s">
        <v>812</v>
      </c>
      <c r="J269" s="1" t="s">
        <v>818</v>
      </c>
      <c r="K269" s="24">
        <v>51</v>
      </c>
      <c r="L269" s="25">
        <v>11</v>
      </c>
      <c r="M269" s="16">
        <v>23270</v>
      </c>
      <c r="N269" s="16">
        <v>312283.40000000002</v>
      </c>
      <c r="O269" s="15">
        <v>56313.400000000023</v>
      </c>
    </row>
    <row r="270" spans="1:15" x14ac:dyDescent="0.3">
      <c r="A270" s="2" t="s">
        <v>278</v>
      </c>
      <c r="B270" s="1" t="s">
        <v>542</v>
      </c>
      <c r="C270" s="6" t="str">
        <f t="shared" si="4"/>
        <v>December</v>
      </c>
      <c r="D270" s="1" t="s">
        <v>786</v>
      </c>
      <c r="E270" s="1" t="s">
        <v>791</v>
      </c>
      <c r="F270" s="1" t="s">
        <v>794</v>
      </c>
      <c r="G270" s="1" t="s">
        <v>797</v>
      </c>
      <c r="H270" s="1" t="s">
        <v>808</v>
      </c>
      <c r="I270" s="10" t="s">
        <v>815</v>
      </c>
      <c r="J270" s="1" t="s">
        <v>817</v>
      </c>
      <c r="K270" s="24">
        <v>71</v>
      </c>
      <c r="L270" s="25">
        <v>15</v>
      </c>
      <c r="M270" s="16">
        <v>2410</v>
      </c>
      <c r="N270" s="16">
        <v>41572.5</v>
      </c>
      <c r="O270" s="15">
        <v>5422.5</v>
      </c>
    </row>
    <row r="271" spans="1:15" x14ac:dyDescent="0.3">
      <c r="A271" s="2" t="s">
        <v>279</v>
      </c>
      <c r="B271" s="1" t="s">
        <v>702</v>
      </c>
      <c r="C271" s="6" t="str">
        <f t="shared" si="4"/>
        <v>December</v>
      </c>
      <c r="D271" s="1" t="s">
        <v>789</v>
      </c>
      <c r="E271" s="1" t="s">
        <v>790</v>
      </c>
      <c r="F271" s="1" t="s">
        <v>796</v>
      </c>
      <c r="G271" s="1" t="s">
        <v>802</v>
      </c>
      <c r="H271" s="1" t="s">
        <v>809</v>
      </c>
      <c r="I271" s="10" t="s">
        <v>812</v>
      </c>
      <c r="J271" s="1" t="s">
        <v>817</v>
      </c>
      <c r="K271" s="24">
        <v>85</v>
      </c>
      <c r="L271" s="25">
        <v>2</v>
      </c>
      <c r="M271" s="16">
        <v>60100</v>
      </c>
      <c r="N271" s="16">
        <v>146644</v>
      </c>
      <c r="O271" s="15">
        <v>26444</v>
      </c>
    </row>
    <row r="272" spans="1:15" x14ac:dyDescent="0.3">
      <c r="A272" s="2" t="s">
        <v>280</v>
      </c>
      <c r="B272" s="1" t="s">
        <v>703</v>
      </c>
      <c r="C272" s="6" t="str">
        <f t="shared" si="4"/>
        <v>June</v>
      </c>
      <c r="D272" s="1" t="s">
        <v>785</v>
      </c>
      <c r="E272" s="1" t="s">
        <v>791</v>
      </c>
      <c r="F272" s="1" t="s">
        <v>796</v>
      </c>
      <c r="G272" s="1" t="s">
        <v>800</v>
      </c>
      <c r="H272" s="1" t="s">
        <v>810</v>
      </c>
      <c r="I272" s="10" t="s">
        <v>812</v>
      </c>
      <c r="J272" s="1" t="s">
        <v>816</v>
      </c>
      <c r="K272" s="24">
        <v>7</v>
      </c>
      <c r="L272" s="25">
        <v>2</v>
      </c>
      <c r="M272" s="16">
        <v>69000</v>
      </c>
      <c r="N272" s="16">
        <v>168360</v>
      </c>
      <c r="O272" s="15">
        <v>30360</v>
      </c>
    </row>
    <row r="273" spans="1:15" x14ac:dyDescent="0.3">
      <c r="A273" s="2" t="s">
        <v>281</v>
      </c>
      <c r="B273" s="1" t="s">
        <v>704</v>
      </c>
      <c r="C273" s="6" t="str">
        <f t="shared" si="4"/>
        <v>October</v>
      </c>
      <c r="D273" s="1" t="s">
        <v>784</v>
      </c>
      <c r="E273" s="1" t="s">
        <v>792</v>
      </c>
      <c r="F273" s="1" t="s">
        <v>794</v>
      </c>
      <c r="G273" s="1" t="s">
        <v>801</v>
      </c>
      <c r="H273" s="1" t="s">
        <v>806</v>
      </c>
      <c r="I273" s="10" t="s">
        <v>815</v>
      </c>
      <c r="J273" s="1" t="s">
        <v>817</v>
      </c>
      <c r="K273" s="24">
        <v>96</v>
      </c>
      <c r="L273" s="25">
        <v>16</v>
      </c>
      <c r="M273" s="16">
        <v>4520</v>
      </c>
      <c r="N273" s="16">
        <v>83168</v>
      </c>
      <c r="O273" s="15">
        <v>10848</v>
      </c>
    </row>
    <row r="274" spans="1:15" x14ac:dyDescent="0.3">
      <c r="A274" s="2" t="s">
        <v>282</v>
      </c>
      <c r="B274" s="1" t="s">
        <v>537</v>
      </c>
      <c r="C274" s="6" t="str">
        <f t="shared" si="4"/>
        <v>July</v>
      </c>
      <c r="D274" s="1" t="s">
        <v>786</v>
      </c>
      <c r="E274" s="1" t="s">
        <v>791</v>
      </c>
      <c r="F274" s="1" t="s">
        <v>795</v>
      </c>
      <c r="G274" s="1" t="s">
        <v>803</v>
      </c>
      <c r="H274" s="1" t="s">
        <v>807</v>
      </c>
      <c r="I274" s="10" t="s">
        <v>811</v>
      </c>
      <c r="J274" s="1" t="s">
        <v>819</v>
      </c>
      <c r="K274" s="24">
        <v>36</v>
      </c>
      <c r="L274" s="25">
        <v>14</v>
      </c>
      <c r="M274" s="16">
        <v>45600</v>
      </c>
      <c r="N274" s="16">
        <v>759696</v>
      </c>
      <c r="O274" s="15">
        <v>121296</v>
      </c>
    </row>
    <row r="275" spans="1:15" x14ac:dyDescent="0.3">
      <c r="A275" s="2" t="s">
        <v>283</v>
      </c>
      <c r="B275" s="1" t="s">
        <v>623</v>
      </c>
      <c r="C275" s="6" t="str">
        <f t="shared" si="4"/>
        <v>April</v>
      </c>
      <c r="D275" s="1" t="s">
        <v>784</v>
      </c>
      <c r="E275" s="1" t="s">
        <v>790</v>
      </c>
      <c r="F275" s="1" t="s">
        <v>794</v>
      </c>
      <c r="G275" s="1" t="s">
        <v>801</v>
      </c>
      <c r="H275" s="1" t="s">
        <v>806</v>
      </c>
      <c r="I275" s="10" t="s">
        <v>813</v>
      </c>
      <c r="J275" s="1" t="s">
        <v>819</v>
      </c>
      <c r="K275" s="24">
        <v>12</v>
      </c>
      <c r="L275" s="25">
        <v>6</v>
      </c>
      <c r="M275" s="16">
        <v>780</v>
      </c>
      <c r="N275" s="16">
        <v>5382</v>
      </c>
      <c r="O275" s="15">
        <v>702</v>
      </c>
    </row>
    <row r="276" spans="1:15" x14ac:dyDescent="0.3">
      <c r="A276" s="2" t="s">
        <v>284</v>
      </c>
      <c r="B276" s="1" t="s">
        <v>705</v>
      </c>
      <c r="C276" s="6" t="str">
        <f t="shared" si="4"/>
        <v>December</v>
      </c>
      <c r="D276" s="1" t="s">
        <v>784</v>
      </c>
      <c r="E276" s="1" t="s">
        <v>791</v>
      </c>
      <c r="F276" s="1" t="s">
        <v>794</v>
      </c>
      <c r="G276" s="1" t="s">
        <v>797</v>
      </c>
      <c r="H276" s="1" t="s">
        <v>808</v>
      </c>
      <c r="I276" s="10" t="s">
        <v>815</v>
      </c>
      <c r="J276" s="1" t="s">
        <v>817</v>
      </c>
      <c r="K276" s="24">
        <v>53</v>
      </c>
      <c r="L276" s="25">
        <v>15</v>
      </c>
      <c r="M276" s="16">
        <v>3118</v>
      </c>
      <c r="N276" s="16">
        <v>53785.5</v>
      </c>
      <c r="O276" s="15">
        <v>7015.5</v>
      </c>
    </row>
    <row r="277" spans="1:15" x14ac:dyDescent="0.3">
      <c r="A277" s="2" t="s">
        <v>285</v>
      </c>
      <c r="B277" s="1" t="s">
        <v>706</v>
      </c>
      <c r="C277" s="6" t="str">
        <f t="shared" si="4"/>
        <v>June</v>
      </c>
      <c r="D277" s="1" t="s">
        <v>784</v>
      </c>
      <c r="E277" s="1" t="s">
        <v>793</v>
      </c>
      <c r="F277" s="1" t="s">
        <v>796</v>
      </c>
      <c r="G277" s="1" t="s">
        <v>799</v>
      </c>
      <c r="H277" s="1" t="s">
        <v>804</v>
      </c>
      <c r="I277" s="10" t="s">
        <v>812</v>
      </c>
      <c r="J277" s="1" t="s">
        <v>818</v>
      </c>
      <c r="K277" s="24">
        <v>61</v>
      </c>
      <c r="L277" s="25">
        <v>8</v>
      </c>
      <c r="M277" s="16">
        <v>43230</v>
      </c>
      <c r="N277" s="16">
        <v>421924.8</v>
      </c>
      <c r="O277" s="15">
        <v>76084.799999999988</v>
      </c>
    </row>
    <row r="278" spans="1:15" x14ac:dyDescent="0.3">
      <c r="A278" s="2" t="s">
        <v>286</v>
      </c>
      <c r="B278" s="1" t="s">
        <v>696</v>
      </c>
      <c r="C278" s="6" t="str">
        <f t="shared" si="4"/>
        <v>April</v>
      </c>
      <c r="D278" s="1" t="s">
        <v>789</v>
      </c>
      <c r="E278" s="1" t="s">
        <v>790</v>
      </c>
      <c r="F278" s="1" t="s">
        <v>796</v>
      </c>
      <c r="G278" s="1" t="s">
        <v>802</v>
      </c>
      <c r="H278" s="1" t="s">
        <v>809</v>
      </c>
      <c r="I278" s="10" t="s">
        <v>812</v>
      </c>
      <c r="J278" s="1" t="s">
        <v>819</v>
      </c>
      <c r="K278" s="24">
        <v>47</v>
      </c>
      <c r="L278" s="25">
        <v>9</v>
      </c>
      <c r="M278" s="16">
        <v>31250</v>
      </c>
      <c r="N278" s="16">
        <v>343125</v>
      </c>
      <c r="O278" s="15">
        <v>61875</v>
      </c>
    </row>
    <row r="279" spans="1:15" x14ac:dyDescent="0.3">
      <c r="A279" s="2" t="s">
        <v>287</v>
      </c>
      <c r="B279" s="1" t="s">
        <v>707</v>
      </c>
      <c r="C279" s="6" t="str">
        <f t="shared" si="4"/>
        <v>May</v>
      </c>
      <c r="D279" s="1" t="s">
        <v>785</v>
      </c>
      <c r="E279" s="1" t="s">
        <v>792</v>
      </c>
      <c r="F279" s="1" t="s">
        <v>794</v>
      </c>
      <c r="G279" s="1" t="s">
        <v>797</v>
      </c>
      <c r="H279" s="1" t="s">
        <v>808</v>
      </c>
      <c r="I279" s="10" t="s">
        <v>815</v>
      </c>
      <c r="J279" s="1" t="s">
        <v>820</v>
      </c>
      <c r="K279" s="24">
        <v>88</v>
      </c>
      <c r="L279" s="25">
        <v>11</v>
      </c>
      <c r="M279" s="16">
        <v>3796</v>
      </c>
      <c r="N279" s="16">
        <v>48019.4</v>
      </c>
      <c r="O279" s="15">
        <v>6263.4000000000015</v>
      </c>
    </row>
    <row r="280" spans="1:15" x14ac:dyDescent="0.3">
      <c r="A280" s="2" t="s">
        <v>288</v>
      </c>
      <c r="B280" s="1" t="s">
        <v>616</v>
      </c>
      <c r="C280" s="6" t="str">
        <f t="shared" si="4"/>
        <v>December</v>
      </c>
      <c r="D280" s="1" t="s">
        <v>784</v>
      </c>
      <c r="E280" s="1" t="s">
        <v>793</v>
      </c>
      <c r="F280" s="1" t="s">
        <v>794</v>
      </c>
      <c r="G280" s="1" t="s">
        <v>801</v>
      </c>
      <c r="H280" s="1" t="s">
        <v>806</v>
      </c>
      <c r="I280" s="10" t="s">
        <v>815</v>
      </c>
      <c r="J280" s="1" t="s">
        <v>816</v>
      </c>
      <c r="K280" s="24">
        <v>43</v>
      </c>
      <c r="L280" s="25">
        <v>1</v>
      </c>
      <c r="M280" s="16">
        <v>1678</v>
      </c>
      <c r="N280" s="16">
        <v>1929.7</v>
      </c>
      <c r="O280" s="15">
        <v>251.70000000000005</v>
      </c>
    </row>
    <row r="281" spans="1:15" x14ac:dyDescent="0.3">
      <c r="A281" s="2" t="s">
        <v>289</v>
      </c>
      <c r="B281" s="1" t="s">
        <v>693</v>
      </c>
      <c r="C281" s="6" t="str">
        <f t="shared" si="4"/>
        <v>January</v>
      </c>
      <c r="D281" s="1" t="s">
        <v>787</v>
      </c>
      <c r="E281" s="1" t="s">
        <v>791</v>
      </c>
      <c r="F281" s="1" t="s">
        <v>795</v>
      </c>
      <c r="G281" s="1" t="s">
        <v>798</v>
      </c>
      <c r="H281" s="1" t="s">
        <v>805</v>
      </c>
      <c r="I281" s="10" t="s">
        <v>811</v>
      </c>
      <c r="J281" s="1" t="s">
        <v>817</v>
      </c>
      <c r="K281" s="24">
        <v>81</v>
      </c>
      <c r="L281" s="25">
        <v>6</v>
      </c>
      <c r="M281" s="16">
        <v>2068</v>
      </c>
      <c r="N281" s="16">
        <v>14765.52</v>
      </c>
      <c r="O281" s="15">
        <v>2357.5200000000004</v>
      </c>
    </row>
    <row r="282" spans="1:15" x14ac:dyDescent="0.3">
      <c r="A282" s="2" t="s">
        <v>290</v>
      </c>
      <c r="B282" s="1" t="s">
        <v>616</v>
      </c>
      <c r="C282" s="6" t="str">
        <f t="shared" si="4"/>
        <v>December</v>
      </c>
      <c r="D282" s="1" t="s">
        <v>786</v>
      </c>
      <c r="E282" s="1" t="s">
        <v>790</v>
      </c>
      <c r="F282" s="1" t="s">
        <v>795</v>
      </c>
      <c r="G282" s="1" t="s">
        <v>803</v>
      </c>
      <c r="H282" s="1" t="s">
        <v>807</v>
      </c>
      <c r="I282" s="10" t="s">
        <v>811</v>
      </c>
      <c r="J282" s="1" t="s">
        <v>820</v>
      </c>
      <c r="K282" s="24">
        <v>79</v>
      </c>
      <c r="L282" s="25">
        <v>12</v>
      </c>
      <c r="M282" s="16">
        <v>23290</v>
      </c>
      <c r="N282" s="16">
        <v>332581.2</v>
      </c>
      <c r="O282" s="15">
        <v>53101.200000000012</v>
      </c>
    </row>
    <row r="283" spans="1:15" x14ac:dyDescent="0.3">
      <c r="A283" s="2" t="s">
        <v>291</v>
      </c>
      <c r="B283" s="1" t="s">
        <v>608</v>
      </c>
      <c r="C283" s="6" t="str">
        <f t="shared" si="4"/>
        <v>August</v>
      </c>
      <c r="D283" s="1" t="s">
        <v>789</v>
      </c>
      <c r="E283" s="1" t="s">
        <v>791</v>
      </c>
      <c r="F283" s="1" t="s">
        <v>794</v>
      </c>
      <c r="G283" s="1" t="s">
        <v>801</v>
      </c>
      <c r="H283" s="1" t="s">
        <v>806</v>
      </c>
      <c r="I283" s="10" t="s">
        <v>813</v>
      </c>
      <c r="J283" s="1" t="s">
        <v>818</v>
      </c>
      <c r="K283" s="24">
        <v>73</v>
      </c>
      <c r="L283" s="25">
        <v>11</v>
      </c>
      <c r="M283" s="16">
        <v>1113</v>
      </c>
      <c r="N283" s="16">
        <v>14079.45</v>
      </c>
      <c r="O283" s="15">
        <v>1836.4500000000007</v>
      </c>
    </row>
    <row r="284" spans="1:15" x14ac:dyDescent="0.3">
      <c r="A284" s="2" t="s">
        <v>292</v>
      </c>
      <c r="B284" s="1" t="s">
        <v>708</v>
      </c>
      <c r="C284" s="6" t="str">
        <f t="shared" si="4"/>
        <v>August</v>
      </c>
      <c r="D284" s="1" t="s">
        <v>786</v>
      </c>
      <c r="E284" s="1" t="s">
        <v>791</v>
      </c>
      <c r="F284" s="1" t="s">
        <v>794</v>
      </c>
      <c r="G284" s="1" t="s">
        <v>797</v>
      </c>
      <c r="H284" s="1" t="s">
        <v>808</v>
      </c>
      <c r="I284" s="10" t="s">
        <v>813</v>
      </c>
      <c r="J284" s="1" t="s">
        <v>820</v>
      </c>
      <c r="K284" s="24">
        <v>64</v>
      </c>
      <c r="L284" s="25">
        <v>17</v>
      </c>
      <c r="M284" s="16">
        <v>1369</v>
      </c>
      <c r="N284" s="16">
        <v>26763.95</v>
      </c>
      <c r="O284" s="15">
        <v>3490.9500000000007</v>
      </c>
    </row>
    <row r="285" spans="1:15" x14ac:dyDescent="0.3">
      <c r="A285" s="2" t="s">
        <v>293</v>
      </c>
      <c r="B285" s="1" t="s">
        <v>559</v>
      </c>
      <c r="C285" s="6" t="str">
        <f t="shared" si="4"/>
        <v>May</v>
      </c>
      <c r="D285" s="1" t="s">
        <v>787</v>
      </c>
      <c r="E285" s="1" t="s">
        <v>793</v>
      </c>
      <c r="F285" s="1" t="s">
        <v>796</v>
      </c>
      <c r="G285" s="1" t="s">
        <v>802</v>
      </c>
      <c r="H285" s="1" t="s">
        <v>809</v>
      </c>
      <c r="I285" s="10" t="s">
        <v>812</v>
      </c>
      <c r="J285" s="1" t="s">
        <v>817</v>
      </c>
      <c r="K285" s="24">
        <v>13</v>
      </c>
      <c r="L285" s="25">
        <v>2</v>
      </c>
      <c r="M285" s="16">
        <v>26210</v>
      </c>
      <c r="N285" s="16">
        <v>63952.4</v>
      </c>
      <c r="O285" s="15">
        <v>11532.400000000001</v>
      </c>
    </row>
    <row r="286" spans="1:15" x14ac:dyDescent="0.3">
      <c r="A286" s="2" t="s">
        <v>294</v>
      </c>
      <c r="B286" s="1" t="s">
        <v>709</v>
      </c>
      <c r="C286" s="6" t="str">
        <f t="shared" si="4"/>
        <v>March</v>
      </c>
      <c r="D286" s="1" t="s">
        <v>789</v>
      </c>
      <c r="E286" s="1" t="s">
        <v>790</v>
      </c>
      <c r="F286" s="1" t="s">
        <v>796</v>
      </c>
      <c r="G286" s="1" t="s">
        <v>799</v>
      </c>
      <c r="H286" s="1" t="s">
        <v>804</v>
      </c>
      <c r="I286" s="10" t="s">
        <v>812</v>
      </c>
      <c r="J286" s="1" t="s">
        <v>817</v>
      </c>
      <c r="K286" s="24">
        <v>26</v>
      </c>
      <c r="L286" s="25">
        <v>7</v>
      </c>
      <c r="M286" s="16">
        <v>26040</v>
      </c>
      <c r="N286" s="16">
        <v>222381.6</v>
      </c>
      <c r="O286" s="15">
        <v>40101.600000000006</v>
      </c>
    </row>
    <row r="287" spans="1:15" x14ac:dyDescent="0.3">
      <c r="A287" s="2" t="s">
        <v>295</v>
      </c>
      <c r="B287" s="1" t="s">
        <v>694</v>
      </c>
      <c r="C287" s="6" t="str">
        <f t="shared" si="4"/>
        <v>December</v>
      </c>
      <c r="D287" s="1" t="s">
        <v>785</v>
      </c>
      <c r="E287" s="1" t="s">
        <v>793</v>
      </c>
      <c r="F287" s="1" t="s">
        <v>796</v>
      </c>
      <c r="G287" s="1" t="s">
        <v>800</v>
      </c>
      <c r="H287" s="1" t="s">
        <v>810</v>
      </c>
      <c r="I287" s="10" t="s">
        <v>812</v>
      </c>
      <c r="J287" s="1" t="s">
        <v>820</v>
      </c>
      <c r="K287" s="24">
        <v>35</v>
      </c>
      <c r="L287" s="25">
        <v>9</v>
      </c>
      <c r="M287" s="16">
        <v>145720</v>
      </c>
      <c r="N287" s="16">
        <v>1600005.6</v>
      </c>
      <c r="O287" s="15">
        <v>288525.60000000009</v>
      </c>
    </row>
    <row r="288" spans="1:15" x14ac:dyDescent="0.3">
      <c r="A288" s="2" t="s">
        <v>296</v>
      </c>
      <c r="B288" s="1" t="s">
        <v>612</v>
      </c>
      <c r="C288" s="6" t="str">
        <f t="shared" si="4"/>
        <v>November</v>
      </c>
      <c r="D288" s="1" t="s">
        <v>786</v>
      </c>
      <c r="E288" s="1" t="s">
        <v>790</v>
      </c>
      <c r="F288" s="1" t="s">
        <v>796</v>
      </c>
      <c r="G288" s="1" t="s">
        <v>799</v>
      </c>
      <c r="H288" s="1" t="s">
        <v>804</v>
      </c>
      <c r="I288" s="10" t="s">
        <v>812</v>
      </c>
      <c r="J288" s="1" t="s">
        <v>819</v>
      </c>
      <c r="K288" s="24">
        <v>2</v>
      </c>
      <c r="L288" s="25">
        <v>8</v>
      </c>
      <c r="M288" s="16">
        <v>30200</v>
      </c>
      <c r="N288" s="16">
        <v>294752</v>
      </c>
      <c r="O288" s="15">
        <v>53152</v>
      </c>
    </row>
    <row r="289" spans="1:15" x14ac:dyDescent="0.3">
      <c r="A289" s="2" t="s">
        <v>297</v>
      </c>
      <c r="B289" s="1" t="s">
        <v>612</v>
      </c>
      <c r="C289" s="6" t="str">
        <f t="shared" si="4"/>
        <v>November</v>
      </c>
      <c r="D289" s="1" t="s">
        <v>785</v>
      </c>
      <c r="E289" s="1" t="s">
        <v>790</v>
      </c>
      <c r="F289" s="1" t="s">
        <v>794</v>
      </c>
      <c r="G289" s="1" t="s">
        <v>797</v>
      </c>
      <c r="H289" s="1" t="s">
        <v>808</v>
      </c>
      <c r="I289" s="10" t="s">
        <v>815</v>
      </c>
      <c r="J289" s="1" t="s">
        <v>819</v>
      </c>
      <c r="K289" s="24">
        <v>4</v>
      </c>
      <c r="L289" s="25">
        <v>9</v>
      </c>
      <c r="M289" s="16">
        <v>1165</v>
      </c>
      <c r="N289" s="16">
        <v>12057.75</v>
      </c>
      <c r="O289" s="15">
        <v>1572.75</v>
      </c>
    </row>
    <row r="290" spans="1:15" x14ac:dyDescent="0.3">
      <c r="A290" s="2" t="s">
        <v>298</v>
      </c>
      <c r="B290" s="1" t="s">
        <v>620</v>
      </c>
      <c r="C290" s="6" t="str">
        <f t="shared" si="4"/>
        <v>July</v>
      </c>
      <c r="D290" s="1" t="s">
        <v>789</v>
      </c>
      <c r="E290" s="1" t="s">
        <v>791</v>
      </c>
      <c r="F290" s="1" t="s">
        <v>796</v>
      </c>
      <c r="G290" s="1" t="s">
        <v>799</v>
      </c>
      <c r="H290" s="1" t="s">
        <v>804</v>
      </c>
      <c r="I290" s="10" t="s">
        <v>812</v>
      </c>
      <c r="J290" s="1" t="s">
        <v>816</v>
      </c>
      <c r="K290" s="24">
        <v>92</v>
      </c>
      <c r="L290" s="25">
        <v>10</v>
      </c>
      <c r="M290" s="16">
        <v>78900</v>
      </c>
      <c r="N290" s="16">
        <v>962580</v>
      </c>
      <c r="O290" s="15">
        <v>173580</v>
      </c>
    </row>
    <row r="291" spans="1:15" x14ac:dyDescent="0.3">
      <c r="A291" s="2" t="s">
        <v>299</v>
      </c>
      <c r="B291" s="1" t="s">
        <v>668</v>
      </c>
      <c r="C291" s="6" t="str">
        <f t="shared" si="4"/>
        <v>January</v>
      </c>
      <c r="D291" s="1" t="s">
        <v>786</v>
      </c>
      <c r="E291" s="1" t="s">
        <v>790</v>
      </c>
      <c r="F291" s="1" t="s">
        <v>795</v>
      </c>
      <c r="G291" s="1" t="s">
        <v>798</v>
      </c>
      <c r="H291" s="1" t="s">
        <v>805</v>
      </c>
      <c r="I291" s="10" t="s">
        <v>811</v>
      </c>
      <c r="J291" s="1" t="s">
        <v>820</v>
      </c>
      <c r="K291" s="24">
        <v>57</v>
      </c>
      <c r="L291" s="25">
        <v>7</v>
      </c>
      <c r="M291" s="16">
        <v>2488</v>
      </c>
      <c r="N291" s="16">
        <v>20725.04</v>
      </c>
      <c r="O291" s="15">
        <v>3309.0400000000009</v>
      </c>
    </row>
    <row r="292" spans="1:15" x14ac:dyDescent="0.3">
      <c r="A292" s="2" t="s">
        <v>300</v>
      </c>
      <c r="B292" s="1" t="s">
        <v>710</v>
      </c>
      <c r="C292" s="6" t="str">
        <f t="shared" si="4"/>
        <v>April</v>
      </c>
      <c r="D292" s="1" t="s">
        <v>785</v>
      </c>
      <c r="E292" s="1" t="s">
        <v>792</v>
      </c>
      <c r="F292" s="1" t="s">
        <v>796</v>
      </c>
      <c r="G292" s="1" t="s">
        <v>802</v>
      </c>
      <c r="H292" s="1" t="s">
        <v>809</v>
      </c>
      <c r="I292" s="10" t="s">
        <v>814</v>
      </c>
      <c r="J292" s="1" t="s">
        <v>817</v>
      </c>
      <c r="K292" s="24">
        <v>35</v>
      </c>
      <c r="L292" s="25">
        <v>11</v>
      </c>
      <c r="M292" s="16">
        <v>32790</v>
      </c>
      <c r="N292" s="16">
        <v>440041.8</v>
      </c>
      <c r="O292" s="15">
        <v>79351.799999999988</v>
      </c>
    </row>
    <row r="293" spans="1:15" x14ac:dyDescent="0.3">
      <c r="A293" s="2" t="s">
        <v>301</v>
      </c>
      <c r="B293" s="1" t="s">
        <v>553</v>
      </c>
      <c r="C293" s="6" t="str">
        <f t="shared" si="4"/>
        <v>April</v>
      </c>
      <c r="D293" s="1" t="s">
        <v>789</v>
      </c>
      <c r="E293" s="1" t="s">
        <v>792</v>
      </c>
      <c r="F293" s="1" t="s">
        <v>794</v>
      </c>
      <c r="G293" s="1" t="s">
        <v>797</v>
      </c>
      <c r="H293" s="1" t="s">
        <v>808</v>
      </c>
      <c r="I293" s="10" t="s">
        <v>813</v>
      </c>
      <c r="J293" s="1" t="s">
        <v>817</v>
      </c>
      <c r="K293" s="24">
        <v>33</v>
      </c>
      <c r="L293" s="25">
        <v>10</v>
      </c>
      <c r="M293" s="16">
        <v>4151</v>
      </c>
      <c r="N293" s="16">
        <v>47736.5</v>
      </c>
      <c r="O293" s="15">
        <v>6226.5</v>
      </c>
    </row>
    <row r="294" spans="1:15" x14ac:dyDescent="0.3">
      <c r="A294" s="2" t="s">
        <v>302</v>
      </c>
      <c r="B294" s="1" t="s">
        <v>650</v>
      </c>
      <c r="C294" s="6" t="str">
        <f t="shared" si="4"/>
        <v>January</v>
      </c>
      <c r="D294" s="1" t="s">
        <v>789</v>
      </c>
      <c r="E294" s="1" t="s">
        <v>793</v>
      </c>
      <c r="F294" s="1" t="s">
        <v>794</v>
      </c>
      <c r="G294" s="1" t="s">
        <v>797</v>
      </c>
      <c r="H294" s="1" t="s">
        <v>808</v>
      </c>
      <c r="I294" s="10" t="s">
        <v>813</v>
      </c>
      <c r="J294" s="1" t="s">
        <v>819</v>
      </c>
      <c r="K294" s="24">
        <v>12</v>
      </c>
      <c r="L294" s="25">
        <v>12</v>
      </c>
      <c r="M294" s="16">
        <v>4864</v>
      </c>
      <c r="N294" s="16">
        <v>67123.199999999997</v>
      </c>
      <c r="O294" s="15">
        <v>8755.1999999999971</v>
      </c>
    </row>
    <row r="295" spans="1:15" x14ac:dyDescent="0.3">
      <c r="A295" s="2" t="s">
        <v>303</v>
      </c>
      <c r="B295" s="1" t="s">
        <v>711</v>
      </c>
      <c r="C295" s="6" t="str">
        <f t="shared" si="4"/>
        <v>October</v>
      </c>
      <c r="D295" s="1" t="s">
        <v>788</v>
      </c>
      <c r="E295" s="1" t="s">
        <v>791</v>
      </c>
      <c r="F295" s="1" t="s">
        <v>794</v>
      </c>
      <c r="G295" s="1" t="s">
        <v>797</v>
      </c>
      <c r="H295" s="1" t="s">
        <v>808</v>
      </c>
      <c r="I295" s="10" t="s">
        <v>813</v>
      </c>
      <c r="J295" s="1" t="s">
        <v>819</v>
      </c>
      <c r="K295" s="24">
        <v>89</v>
      </c>
      <c r="L295" s="25">
        <v>8</v>
      </c>
      <c r="M295" s="16">
        <v>1800</v>
      </c>
      <c r="N295" s="16">
        <v>16560</v>
      </c>
      <c r="O295" s="15">
        <v>2160</v>
      </c>
    </row>
    <row r="296" spans="1:15" x14ac:dyDescent="0.3">
      <c r="A296" s="2" t="s">
        <v>304</v>
      </c>
      <c r="B296" s="1" t="s">
        <v>675</v>
      </c>
      <c r="C296" s="6" t="str">
        <f t="shared" si="4"/>
        <v>April</v>
      </c>
      <c r="D296" s="1" t="s">
        <v>786</v>
      </c>
      <c r="E296" s="1" t="s">
        <v>793</v>
      </c>
      <c r="F296" s="1" t="s">
        <v>794</v>
      </c>
      <c r="G296" s="1" t="s">
        <v>797</v>
      </c>
      <c r="H296" s="1" t="s">
        <v>808</v>
      </c>
      <c r="I296" s="10" t="s">
        <v>813</v>
      </c>
      <c r="J296" s="1" t="s">
        <v>819</v>
      </c>
      <c r="K296" s="24">
        <v>13</v>
      </c>
      <c r="L296" s="25">
        <v>6</v>
      </c>
      <c r="M296" s="16">
        <v>785</v>
      </c>
      <c r="N296" s="16">
        <v>5416.5</v>
      </c>
      <c r="O296" s="15">
        <v>706.5</v>
      </c>
    </row>
    <row r="297" spans="1:15" x14ac:dyDescent="0.3">
      <c r="A297" s="2" t="s">
        <v>305</v>
      </c>
      <c r="B297" s="1" t="s">
        <v>712</v>
      </c>
      <c r="C297" s="6" t="str">
        <f t="shared" si="4"/>
        <v>April</v>
      </c>
      <c r="D297" s="1" t="s">
        <v>788</v>
      </c>
      <c r="E297" s="1" t="s">
        <v>790</v>
      </c>
      <c r="F297" s="1" t="s">
        <v>796</v>
      </c>
      <c r="G297" s="1" t="s">
        <v>800</v>
      </c>
      <c r="H297" s="1" t="s">
        <v>810</v>
      </c>
      <c r="I297" s="10" t="s">
        <v>812</v>
      </c>
      <c r="J297" s="1" t="s">
        <v>820</v>
      </c>
      <c r="K297" s="24">
        <v>79</v>
      </c>
      <c r="L297" s="25">
        <v>14</v>
      </c>
      <c r="M297" s="16">
        <v>95000</v>
      </c>
      <c r="N297" s="16">
        <v>1622600</v>
      </c>
      <c r="O297" s="15">
        <v>292600</v>
      </c>
    </row>
    <row r="298" spans="1:15" x14ac:dyDescent="0.3">
      <c r="A298" s="2" t="s">
        <v>306</v>
      </c>
      <c r="B298" s="1" t="s">
        <v>713</v>
      </c>
      <c r="C298" s="6" t="str">
        <f t="shared" si="4"/>
        <v>August</v>
      </c>
      <c r="D298" s="1" t="s">
        <v>786</v>
      </c>
      <c r="E298" s="1" t="s">
        <v>792</v>
      </c>
      <c r="F298" s="1" t="s">
        <v>795</v>
      </c>
      <c r="G298" s="1" t="s">
        <v>803</v>
      </c>
      <c r="H298" s="1" t="s">
        <v>807</v>
      </c>
      <c r="I298" s="10" t="s">
        <v>811</v>
      </c>
      <c r="J298" s="1" t="s">
        <v>817</v>
      </c>
      <c r="K298" s="24">
        <v>15</v>
      </c>
      <c r="L298" s="25">
        <v>18</v>
      </c>
      <c r="M298" s="16">
        <v>31300</v>
      </c>
      <c r="N298" s="16">
        <v>670446</v>
      </c>
      <c r="O298" s="15">
        <v>107046</v>
      </c>
    </row>
    <row r="299" spans="1:15" x14ac:dyDescent="0.3">
      <c r="A299" s="2" t="s">
        <v>307</v>
      </c>
      <c r="B299" s="1" t="s">
        <v>714</v>
      </c>
      <c r="C299" s="6" t="str">
        <f t="shared" si="4"/>
        <v>February</v>
      </c>
      <c r="D299" s="1" t="s">
        <v>787</v>
      </c>
      <c r="E299" s="1" t="s">
        <v>792</v>
      </c>
      <c r="F299" s="1" t="s">
        <v>795</v>
      </c>
      <c r="G299" s="1" t="s">
        <v>803</v>
      </c>
      <c r="H299" s="1" t="s">
        <v>807</v>
      </c>
      <c r="I299" s="10" t="s">
        <v>811</v>
      </c>
      <c r="J299" s="1" t="s">
        <v>820</v>
      </c>
      <c r="K299" s="24">
        <v>50</v>
      </c>
      <c r="L299" s="25">
        <v>13</v>
      </c>
      <c r="M299" s="16">
        <v>30000</v>
      </c>
      <c r="N299" s="16">
        <v>464100</v>
      </c>
      <c r="O299" s="15">
        <v>74100</v>
      </c>
    </row>
    <row r="300" spans="1:15" x14ac:dyDescent="0.3">
      <c r="A300" s="2" t="s">
        <v>308</v>
      </c>
      <c r="B300" s="1" t="s">
        <v>715</v>
      </c>
      <c r="C300" s="6" t="str">
        <f t="shared" si="4"/>
        <v>March</v>
      </c>
      <c r="D300" s="1" t="s">
        <v>785</v>
      </c>
      <c r="E300" s="1" t="s">
        <v>793</v>
      </c>
      <c r="F300" s="1" t="s">
        <v>795</v>
      </c>
      <c r="G300" s="1" t="s">
        <v>803</v>
      </c>
      <c r="H300" s="1" t="s">
        <v>807</v>
      </c>
      <c r="I300" s="10" t="s">
        <v>811</v>
      </c>
      <c r="J300" s="1" t="s">
        <v>816</v>
      </c>
      <c r="K300" s="24">
        <v>51</v>
      </c>
      <c r="L300" s="25">
        <v>13</v>
      </c>
      <c r="M300" s="16">
        <v>65550</v>
      </c>
      <c r="N300" s="16">
        <v>1014058.5</v>
      </c>
      <c r="O300" s="15">
        <v>161908.5</v>
      </c>
    </row>
    <row r="301" spans="1:15" x14ac:dyDescent="0.3">
      <c r="A301" s="2" t="s">
        <v>309</v>
      </c>
      <c r="B301" s="1" t="s">
        <v>690</v>
      </c>
      <c r="C301" s="6" t="str">
        <f t="shared" si="4"/>
        <v>November</v>
      </c>
      <c r="D301" s="1" t="s">
        <v>787</v>
      </c>
      <c r="E301" s="1" t="s">
        <v>791</v>
      </c>
      <c r="F301" s="1" t="s">
        <v>795</v>
      </c>
      <c r="G301" s="1" t="s">
        <v>798</v>
      </c>
      <c r="H301" s="1" t="s">
        <v>805</v>
      </c>
      <c r="I301" s="10" t="s">
        <v>811</v>
      </c>
      <c r="J301" s="1" t="s">
        <v>819</v>
      </c>
      <c r="K301" s="24">
        <v>28</v>
      </c>
      <c r="L301" s="25">
        <v>12</v>
      </c>
      <c r="M301" s="16">
        <v>4259</v>
      </c>
      <c r="N301" s="16">
        <v>60818.520000000004</v>
      </c>
      <c r="O301" s="15">
        <v>9710.5200000000041</v>
      </c>
    </row>
    <row r="302" spans="1:15" x14ac:dyDescent="0.3">
      <c r="A302" s="2" t="s">
        <v>310</v>
      </c>
      <c r="B302" s="1" t="s">
        <v>559</v>
      </c>
      <c r="C302" s="6" t="str">
        <f t="shared" si="4"/>
        <v>May</v>
      </c>
      <c r="D302" s="1" t="s">
        <v>785</v>
      </c>
      <c r="E302" s="1" t="s">
        <v>790</v>
      </c>
      <c r="F302" s="1" t="s">
        <v>794</v>
      </c>
      <c r="G302" s="1" t="s">
        <v>801</v>
      </c>
      <c r="H302" s="1" t="s">
        <v>806</v>
      </c>
      <c r="I302" s="10" t="s">
        <v>813</v>
      </c>
      <c r="J302" s="1" t="s">
        <v>820</v>
      </c>
      <c r="K302" s="24">
        <v>83</v>
      </c>
      <c r="L302" s="25">
        <v>5</v>
      </c>
      <c r="M302" s="16">
        <v>3271</v>
      </c>
      <c r="N302" s="16">
        <v>18808.25</v>
      </c>
      <c r="O302" s="15">
        <v>2453.25</v>
      </c>
    </row>
    <row r="303" spans="1:15" x14ac:dyDescent="0.3">
      <c r="A303" s="2" t="s">
        <v>311</v>
      </c>
      <c r="B303" s="1" t="s">
        <v>564</v>
      </c>
      <c r="C303" s="6" t="str">
        <f t="shared" si="4"/>
        <v>October</v>
      </c>
      <c r="D303" s="1" t="s">
        <v>785</v>
      </c>
      <c r="E303" s="1" t="s">
        <v>792</v>
      </c>
      <c r="F303" s="1" t="s">
        <v>794</v>
      </c>
      <c r="G303" s="1" t="s">
        <v>797</v>
      </c>
      <c r="H303" s="1" t="s">
        <v>808</v>
      </c>
      <c r="I303" s="10" t="s">
        <v>813</v>
      </c>
      <c r="J303" s="1" t="s">
        <v>820</v>
      </c>
      <c r="K303" s="24">
        <v>58</v>
      </c>
      <c r="L303" s="25">
        <v>8</v>
      </c>
      <c r="M303" s="16">
        <v>3315</v>
      </c>
      <c r="N303" s="16">
        <v>30498</v>
      </c>
      <c r="O303" s="15">
        <v>3978</v>
      </c>
    </row>
    <row r="304" spans="1:15" x14ac:dyDescent="0.3">
      <c r="A304" s="2" t="s">
        <v>312</v>
      </c>
      <c r="B304" s="1" t="s">
        <v>708</v>
      </c>
      <c r="C304" s="6" t="str">
        <f t="shared" si="4"/>
        <v>August</v>
      </c>
      <c r="D304" s="1" t="s">
        <v>788</v>
      </c>
      <c r="E304" s="1" t="s">
        <v>790</v>
      </c>
      <c r="F304" s="1" t="s">
        <v>796</v>
      </c>
      <c r="G304" s="1" t="s">
        <v>800</v>
      </c>
      <c r="H304" s="1" t="s">
        <v>810</v>
      </c>
      <c r="I304" s="10" t="s">
        <v>812</v>
      </c>
      <c r="J304" s="1" t="s">
        <v>818</v>
      </c>
      <c r="K304" s="24">
        <v>24</v>
      </c>
      <c r="L304" s="25">
        <v>15</v>
      </c>
      <c r="M304" s="16">
        <v>145000</v>
      </c>
      <c r="N304" s="16">
        <v>2653500</v>
      </c>
      <c r="O304" s="15">
        <v>478500</v>
      </c>
    </row>
    <row r="305" spans="1:15" x14ac:dyDescent="0.3">
      <c r="A305" s="2" t="s">
        <v>313</v>
      </c>
      <c r="B305" s="1" t="s">
        <v>716</v>
      </c>
      <c r="C305" s="6" t="str">
        <f t="shared" si="4"/>
        <v>December</v>
      </c>
      <c r="D305" s="1" t="s">
        <v>789</v>
      </c>
      <c r="E305" s="1" t="s">
        <v>792</v>
      </c>
      <c r="F305" s="1" t="s">
        <v>796</v>
      </c>
      <c r="G305" s="1" t="s">
        <v>802</v>
      </c>
      <c r="H305" s="1" t="s">
        <v>809</v>
      </c>
      <c r="I305" s="10" t="s">
        <v>812</v>
      </c>
      <c r="J305" s="1" t="s">
        <v>817</v>
      </c>
      <c r="K305" s="24">
        <v>97</v>
      </c>
      <c r="L305" s="25">
        <v>15</v>
      </c>
      <c r="M305" s="16">
        <v>27230</v>
      </c>
      <c r="N305" s="16">
        <v>498309</v>
      </c>
      <c r="O305" s="15">
        <v>89859</v>
      </c>
    </row>
    <row r="306" spans="1:15" x14ac:dyDescent="0.3">
      <c r="A306" s="2" t="s">
        <v>314</v>
      </c>
      <c r="B306" s="1" t="s">
        <v>714</v>
      </c>
      <c r="C306" s="6" t="str">
        <f t="shared" si="4"/>
        <v>February</v>
      </c>
      <c r="D306" s="1" t="s">
        <v>787</v>
      </c>
      <c r="E306" s="1" t="s">
        <v>790</v>
      </c>
      <c r="F306" s="1" t="s">
        <v>795</v>
      </c>
      <c r="G306" s="1" t="s">
        <v>803</v>
      </c>
      <c r="H306" s="1" t="s">
        <v>807</v>
      </c>
      <c r="I306" s="10" t="s">
        <v>811</v>
      </c>
      <c r="J306" s="1" t="s">
        <v>819</v>
      </c>
      <c r="K306" s="24">
        <v>16</v>
      </c>
      <c r="L306" s="25">
        <v>8</v>
      </c>
      <c r="M306" s="16">
        <v>12860</v>
      </c>
      <c r="N306" s="16">
        <v>122427.2</v>
      </c>
      <c r="O306" s="15">
        <v>19547.199999999997</v>
      </c>
    </row>
    <row r="307" spans="1:15" x14ac:dyDescent="0.3">
      <c r="A307" s="2" t="s">
        <v>315</v>
      </c>
      <c r="B307" s="1" t="s">
        <v>717</v>
      </c>
      <c r="C307" s="6" t="str">
        <f t="shared" si="4"/>
        <v>September</v>
      </c>
      <c r="D307" s="1" t="s">
        <v>786</v>
      </c>
      <c r="E307" s="1" t="s">
        <v>791</v>
      </c>
      <c r="F307" s="1" t="s">
        <v>794</v>
      </c>
      <c r="G307" s="1" t="s">
        <v>801</v>
      </c>
      <c r="H307" s="1" t="s">
        <v>806</v>
      </c>
      <c r="I307" s="10" t="s">
        <v>813</v>
      </c>
      <c r="J307" s="1" t="s">
        <v>819</v>
      </c>
      <c r="K307" s="24">
        <v>94</v>
      </c>
      <c r="L307" s="25">
        <v>4</v>
      </c>
      <c r="M307" s="16">
        <v>4216</v>
      </c>
      <c r="N307" s="16">
        <v>19393.599999999999</v>
      </c>
      <c r="O307" s="15">
        <v>2529.5999999999985</v>
      </c>
    </row>
    <row r="308" spans="1:15" x14ac:dyDescent="0.3">
      <c r="A308" s="2" t="s">
        <v>316</v>
      </c>
      <c r="B308" s="1" t="s">
        <v>718</v>
      </c>
      <c r="C308" s="6" t="str">
        <f t="shared" si="4"/>
        <v>June</v>
      </c>
      <c r="D308" s="1" t="s">
        <v>785</v>
      </c>
      <c r="E308" s="1" t="s">
        <v>793</v>
      </c>
      <c r="F308" s="1" t="s">
        <v>794</v>
      </c>
      <c r="G308" s="1" t="s">
        <v>801</v>
      </c>
      <c r="H308" s="1" t="s">
        <v>806</v>
      </c>
      <c r="I308" s="10" t="s">
        <v>815</v>
      </c>
      <c r="J308" s="1" t="s">
        <v>820</v>
      </c>
      <c r="K308" s="24">
        <v>34</v>
      </c>
      <c r="L308" s="25">
        <v>12</v>
      </c>
      <c r="M308" s="16">
        <v>4042</v>
      </c>
      <c r="N308" s="16">
        <v>55779.6</v>
      </c>
      <c r="O308" s="15">
        <v>7275.5999999999985</v>
      </c>
    </row>
    <row r="309" spans="1:15" x14ac:dyDescent="0.3">
      <c r="A309" s="2" t="s">
        <v>317</v>
      </c>
      <c r="B309" s="1" t="s">
        <v>596</v>
      </c>
      <c r="C309" s="6" t="str">
        <f t="shared" si="4"/>
        <v>March</v>
      </c>
      <c r="D309" s="1" t="s">
        <v>784</v>
      </c>
      <c r="E309" s="1" t="s">
        <v>790</v>
      </c>
      <c r="F309" s="1" t="s">
        <v>796</v>
      </c>
      <c r="G309" s="1" t="s">
        <v>799</v>
      </c>
      <c r="H309" s="1" t="s">
        <v>804</v>
      </c>
      <c r="I309" s="10" t="s">
        <v>812</v>
      </c>
      <c r="J309" s="1" t="s">
        <v>816</v>
      </c>
      <c r="K309" s="24">
        <v>23</v>
      </c>
      <c r="L309" s="25">
        <v>4</v>
      </c>
      <c r="M309" s="16">
        <v>49240</v>
      </c>
      <c r="N309" s="16">
        <v>240291.20000000001</v>
      </c>
      <c r="O309" s="15">
        <v>43331.200000000012</v>
      </c>
    </row>
    <row r="310" spans="1:15" x14ac:dyDescent="0.3">
      <c r="A310" s="2" t="s">
        <v>318</v>
      </c>
      <c r="B310" s="1" t="s">
        <v>688</v>
      </c>
      <c r="C310" s="6" t="str">
        <f t="shared" si="4"/>
        <v>January</v>
      </c>
      <c r="D310" s="1" t="s">
        <v>786</v>
      </c>
      <c r="E310" s="1" t="s">
        <v>793</v>
      </c>
      <c r="F310" s="1" t="s">
        <v>796</v>
      </c>
      <c r="G310" s="1" t="s">
        <v>800</v>
      </c>
      <c r="H310" s="1" t="s">
        <v>810</v>
      </c>
      <c r="I310" s="10" t="s">
        <v>812</v>
      </c>
      <c r="J310" s="1" t="s">
        <v>816</v>
      </c>
      <c r="K310" s="24">
        <v>4</v>
      </c>
      <c r="L310" s="25">
        <v>20</v>
      </c>
      <c r="M310" s="16">
        <v>445901</v>
      </c>
      <c r="N310" s="16">
        <v>10879984.4</v>
      </c>
      <c r="O310" s="15">
        <v>1961964.4000000004</v>
      </c>
    </row>
    <row r="311" spans="1:15" x14ac:dyDescent="0.3">
      <c r="A311" s="2" t="s">
        <v>319</v>
      </c>
      <c r="B311" s="1" t="s">
        <v>719</v>
      </c>
      <c r="C311" s="6" t="str">
        <f t="shared" si="4"/>
        <v>August</v>
      </c>
      <c r="D311" s="1" t="s">
        <v>786</v>
      </c>
      <c r="E311" s="1" t="s">
        <v>790</v>
      </c>
      <c r="F311" s="1" t="s">
        <v>795</v>
      </c>
      <c r="G311" s="1" t="s">
        <v>803</v>
      </c>
      <c r="H311" s="1" t="s">
        <v>807</v>
      </c>
      <c r="I311" s="10" t="s">
        <v>811</v>
      </c>
      <c r="J311" s="1" t="s">
        <v>817</v>
      </c>
      <c r="K311" s="24">
        <v>97</v>
      </c>
      <c r="L311" s="25">
        <v>17</v>
      </c>
      <c r="M311" s="16">
        <v>13300</v>
      </c>
      <c r="N311" s="16">
        <v>269059</v>
      </c>
      <c r="O311" s="15">
        <v>42959</v>
      </c>
    </row>
    <row r="312" spans="1:15" x14ac:dyDescent="0.3">
      <c r="A312" s="2" t="s">
        <v>320</v>
      </c>
      <c r="B312" s="1" t="s">
        <v>720</v>
      </c>
      <c r="C312" s="6" t="str">
        <f t="shared" si="4"/>
        <v>February</v>
      </c>
      <c r="D312" s="1" t="s">
        <v>785</v>
      </c>
      <c r="E312" s="1" t="s">
        <v>790</v>
      </c>
      <c r="F312" s="1" t="s">
        <v>794</v>
      </c>
      <c r="G312" s="1" t="s">
        <v>797</v>
      </c>
      <c r="H312" s="1" t="s">
        <v>808</v>
      </c>
      <c r="I312" s="10" t="s">
        <v>813</v>
      </c>
      <c r="J312" s="1" t="s">
        <v>817</v>
      </c>
      <c r="K312" s="24">
        <v>66</v>
      </c>
      <c r="L312" s="25">
        <v>8</v>
      </c>
      <c r="M312" s="16">
        <v>1987</v>
      </c>
      <c r="N312" s="16">
        <v>18280.400000000001</v>
      </c>
      <c r="O312" s="15">
        <v>2384.4000000000015</v>
      </c>
    </row>
    <row r="313" spans="1:15" x14ac:dyDescent="0.3">
      <c r="A313" s="2" t="s">
        <v>321</v>
      </c>
      <c r="B313" s="1" t="s">
        <v>603</v>
      </c>
      <c r="C313" s="6" t="str">
        <f t="shared" si="4"/>
        <v>May</v>
      </c>
      <c r="D313" s="1" t="s">
        <v>785</v>
      </c>
      <c r="E313" s="1" t="s">
        <v>792</v>
      </c>
      <c r="F313" s="1" t="s">
        <v>795</v>
      </c>
      <c r="G313" s="1" t="s">
        <v>803</v>
      </c>
      <c r="H313" s="1" t="s">
        <v>807</v>
      </c>
      <c r="I313" s="10" t="s">
        <v>811</v>
      </c>
      <c r="J313" s="1" t="s">
        <v>817</v>
      </c>
      <c r="K313" s="24">
        <v>49</v>
      </c>
      <c r="L313" s="25">
        <v>3</v>
      </c>
      <c r="M313" s="16">
        <v>28610</v>
      </c>
      <c r="N313" s="16">
        <v>102137.7</v>
      </c>
      <c r="O313" s="15">
        <v>16307.699999999997</v>
      </c>
    </row>
    <row r="314" spans="1:15" x14ac:dyDescent="0.3">
      <c r="A314" s="2" t="s">
        <v>322</v>
      </c>
      <c r="B314" s="1" t="s">
        <v>721</v>
      </c>
      <c r="C314" s="6" t="str">
        <f t="shared" si="4"/>
        <v>August</v>
      </c>
      <c r="D314" s="1" t="s">
        <v>789</v>
      </c>
      <c r="E314" s="1" t="s">
        <v>792</v>
      </c>
      <c r="F314" s="1" t="s">
        <v>794</v>
      </c>
      <c r="G314" s="1" t="s">
        <v>797</v>
      </c>
      <c r="H314" s="1" t="s">
        <v>808</v>
      </c>
      <c r="I314" s="10" t="s">
        <v>813</v>
      </c>
      <c r="J314" s="1" t="s">
        <v>818</v>
      </c>
      <c r="K314" s="24">
        <v>23</v>
      </c>
      <c r="L314" s="25">
        <v>10</v>
      </c>
      <c r="M314" s="16">
        <v>890</v>
      </c>
      <c r="N314" s="16">
        <v>10235</v>
      </c>
      <c r="O314" s="15">
        <v>1335</v>
      </c>
    </row>
    <row r="315" spans="1:15" x14ac:dyDescent="0.3">
      <c r="A315" s="2" t="s">
        <v>323</v>
      </c>
      <c r="B315" s="1" t="s">
        <v>673</v>
      </c>
      <c r="C315" s="6" t="str">
        <f t="shared" si="4"/>
        <v>February</v>
      </c>
      <c r="D315" s="1" t="s">
        <v>784</v>
      </c>
      <c r="E315" s="1" t="s">
        <v>792</v>
      </c>
      <c r="F315" s="1" t="s">
        <v>795</v>
      </c>
      <c r="G315" s="1" t="s">
        <v>803</v>
      </c>
      <c r="H315" s="1" t="s">
        <v>807</v>
      </c>
      <c r="I315" s="10" t="s">
        <v>811</v>
      </c>
      <c r="J315" s="1" t="s">
        <v>816</v>
      </c>
      <c r="K315" s="24">
        <v>89</v>
      </c>
      <c r="L315" s="25">
        <v>5</v>
      </c>
      <c r="M315" s="16">
        <v>48850</v>
      </c>
      <c r="N315" s="16">
        <v>290657.5</v>
      </c>
      <c r="O315" s="15">
        <v>46407.5</v>
      </c>
    </row>
    <row r="316" spans="1:15" x14ac:dyDescent="0.3">
      <c r="A316" s="2" t="s">
        <v>324</v>
      </c>
      <c r="B316" s="1" t="s">
        <v>613</v>
      </c>
      <c r="C316" s="6" t="str">
        <f t="shared" si="4"/>
        <v>November</v>
      </c>
      <c r="D316" s="1" t="s">
        <v>787</v>
      </c>
      <c r="E316" s="1" t="s">
        <v>792</v>
      </c>
      <c r="F316" s="1" t="s">
        <v>796</v>
      </c>
      <c r="G316" s="1" t="s">
        <v>800</v>
      </c>
      <c r="H316" s="1" t="s">
        <v>810</v>
      </c>
      <c r="I316" s="10" t="s">
        <v>812</v>
      </c>
      <c r="J316" s="1" t="s">
        <v>820</v>
      </c>
      <c r="K316" s="24">
        <v>13</v>
      </c>
      <c r="L316" s="25">
        <v>8</v>
      </c>
      <c r="M316" s="16">
        <v>146000</v>
      </c>
      <c r="N316" s="16">
        <v>1424960</v>
      </c>
      <c r="O316" s="15">
        <v>256960</v>
      </c>
    </row>
    <row r="317" spans="1:15" x14ac:dyDescent="0.3">
      <c r="A317" s="2" t="s">
        <v>325</v>
      </c>
      <c r="B317" s="1" t="s">
        <v>695</v>
      </c>
      <c r="C317" s="6" t="str">
        <f t="shared" si="4"/>
        <v>October</v>
      </c>
      <c r="D317" s="1" t="s">
        <v>786</v>
      </c>
      <c r="E317" s="1" t="s">
        <v>791</v>
      </c>
      <c r="F317" s="1" t="s">
        <v>794</v>
      </c>
      <c r="G317" s="1" t="s">
        <v>797</v>
      </c>
      <c r="H317" s="1" t="s">
        <v>808</v>
      </c>
      <c r="I317" s="10" t="s">
        <v>813</v>
      </c>
      <c r="J317" s="1" t="s">
        <v>819</v>
      </c>
      <c r="K317" s="24">
        <v>95</v>
      </c>
      <c r="L317" s="25">
        <v>5</v>
      </c>
      <c r="M317" s="16">
        <v>980</v>
      </c>
      <c r="N317" s="16">
        <v>5635</v>
      </c>
      <c r="O317" s="15">
        <v>735</v>
      </c>
    </row>
    <row r="318" spans="1:15" x14ac:dyDescent="0.3">
      <c r="A318" s="2" t="s">
        <v>326</v>
      </c>
      <c r="B318" s="1" t="s">
        <v>688</v>
      </c>
      <c r="C318" s="6" t="str">
        <f t="shared" si="4"/>
        <v>January</v>
      </c>
      <c r="D318" s="1" t="s">
        <v>784</v>
      </c>
      <c r="E318" s="1" t="s">
        <v>791</v>
      </c>
      <c r="F318" s="1" t="s">
        <v>796</v>
      </c>
      <c r="G318" s="1" t="s">
        <v>799</v>
      </c>
      <c r="H318" s="1" t="s">
        <v>804</v>
      </c>
      <c r="I318" s="10" t="s">
        <v>812</v>
      </c>
      <c r="J318" s="1" t="s">
        <v>817</v>
      </c>
      <c r="K318" s="24">
        <v>42</v>
      </c>
      <c r="L318" s="25">
        <v>20</v>
      </c>
      <c r="M318" s="16">
        <v>45888</v>
      </c>
      <c r="N318" s="16">
        <v>1119667.2</v>
      </c>
      <c r="O318" s="15">
        <v>201907.19999999995</v>
      </c>
    </row>
    <row r="319" spans="1:15" x14ac:dyDescent="0.3">
      <c r="A319" s="2" t="s">
        <v>327</v>
      </c>
      <c r="B319" s="1" t="s">
        <v>598</v>
      </c>
      <c r="C319" s="6" t="str">
        <f t="shared" si="4"/>
        <v>December</v>
      </c>
      <c r="D319" s="1" t="s">
        <v>786</v>
      </c>
      <c r="E319" s="1" t="s">
        <v>792</v>
      </c>
      <c r="F319" s="1" t="s">
        <v>796</v>
      </c>
      <c r="G319" s="1" t="s">
        <v>800</v>
      </c>
      <c r="H319" s="1" t="s">
        <v>810</v>
      </c>
      <c r="I319" s="10" t="s">
        <v>812</v>
      </c>
      <c r="J319" s="1" t="s">
        <v>820</v>
      </c>
      <c r="K319" s="24">
        <v>82</v>
      </c>
      <c r="L319" s="25">
        <v>7</v>
      </c>
      <c r="M319" s="16">
        <v>147000</v>
      </c>
      <c r="N319" s="16">
        <v>1255380</v>
      </c>
      <c r="O319" s="15">
        <v>226380</v>
      </c>
    </row>
    <row r="320" spans="1:15" x14ac:dyDescent="0.3">
      <c r="A320" s="2" t="s">
        <v>328</v>
      </c>
      <c r="B320" s="1" t="s">
        <v>722</v>
      </c>
      <c r="C320" s="6" t="str">
        <f t="shared" si="4"/>
        <v>April</v>
      </c>
      <c r="D320" s="1" t="s">
        <v>786</v>
      </c>
      <c r="E320" s="1" t="s">
        <v>792</v>
      </c>
      <c r="F320" s="1" t="s">
        <v>794</v>
      </c>
      <c r="G320" s="1" t="s">
        <v>801</v>
      </c>
      <c r="H320" s="1" t="s">
        <v>806</v>
      </c>
      <c r="I320" s="10" t="s">
        <v>813</v>
      </c>
      <c r="J320" s="1" t="s">
        <v>817</v>
      </c>
      <c r="K320" s="24">
        <v>77</v>
      </c>
      <c r="L320" s="25">
        <v>19</v>
      </c>
      <c r="M320" s="16">
        <v>4467</v>
      </c>
      <c r="N320" s="16">
        <v>97603.95</v>
      </c>
      <c r="O320" s="15">
        <v>12730.949999999997</v>
      </c>
    </row>
    <row r="321" spans="1:15" x14ac:dyDescent="0.3">
      <c r="A321" s="2" t="s">
        <v>329</v>
      </c>
      <c r="B321" s="1" t="s">
        <v>538</v>
      </c>
      <c r="C321" s="6" t="str">
        <f t="shared" si="4"/>
        <v>March</v>
      </c>
      <c r="D321" s="1" t="s">
        <v>786</v>
      </c>
      <c r="E321" s="1" t="s">
        <v>793</v>
      </c>
      <c r="F321" s="1" t="s">
        <v>794</v>
      </c>
      <c r="G321" s="1" t="s">
        <v>797</v>
      </c>
      <c r="H321" s="1" t="s">
        <v>808</v>
      </c>
      <c r="I321" s="10" t="s">
        <v>813</v>
      </c>
      <c r="J321" s="1" t="s">
        <v>819</v>
      </c>
      <c r="K321" s="24">
        <v>81</v>
      </c>
      <c r="L321" s="25">
        <v>7</v>
      </c>
      <c r="M321" s="16">
        <v>999</v>
      </c>
      <c r="N321" s="16">
        <v>8041.95</v>
      </c>
      <c r="O321" s="15">
        <v>1048.9499999999998</v>
      </c>
    </row>
    <row r="322" spans="1:15" x14ac:dyDescent="0.3">
      <c r="A322" s="2" t="s">
        <v>330</v>
      </c>
      <c r="B322" s="1" t="s">
        <v>723</v>
      </c>
      <c r="C322" s="6" t="str">
        <f t="shared" si="4"/>
        <v>September</v>
      </c>
      <c r="D322" s="1" t="s">
        <v>786</v>
      </c>
      <c r="E322" s="1" t="s">
        <v>793</v>
      </c>
      <c r="F322" s="1" t="s">
        <v>794</v>
      </c>
      <c r="G322" s="1" t="s">
        <v>797</v>
      </c>
      <c r="H322" s="1" t="s">
        <v>808</v>
      </c>
      <c r="I322" s="10" t="s">
        <v>813</v>
      </c>
      <c r="J322" s="1" t="s">
        <v>817</v>
      </c>
      <c r="K322" s="24">
        <v>71</v>
      </c>
      <c r="L322" s="25">
        <v>20</v>
      </c>
      <c r="M322" s="16">
        <v>1282</v>
      </c>
      <c r="N322" s="16">
        <v>29486</v>
      </c>
      <c r="O322" s="15">
        <v>3846</v>
      </c>
    </row>
    <row r="323" spans="1:15" x14ac:dyDescent="0.3">
      <c r="A323" s="2" t="s">
        <v>331</v>
      </c>
      <c r="B323" s="1" t="s">
        <v>636</v>
      </c>
      <c r="C323" s="6" t="str">
        <f t="shared" ref="C323:C386" si="5">TEXT(B323, "mmmm")</f>
        <v>August</v>
      </c>
      <c r="D323" s="1" t="s">
        <v>784</v>
      </c>
      <c r="E323" s="1" t="s">
        <v>792</v>
      </c>
      <c r="F323" s="1" t="s">
        <v>796</v>
      </c>
      <c r="G323" s="1" t="s">
        <v>799</v>
      </c>
      <c r="H323" s="1" t="s">
        <v>804</v>
      </c>
      <c r="I323" s="10" t="s">
        <v>812</v>
      </c>
      <c r="J323" s="1" t="s">
        <v>819</v>
      </c>
      <c r="K323" s="24">
        <v>16</v>
      </c>
      <c r="L323" s="25">
        <v>4</v>
      </c>
      <c r="M323" s="16">
        <v>665025</v>
      </c>
      <c r="N323" s="16">
        <v>3245322</v>
      </c>
      <c r="O323" s="15">
        <v>585222</v>
      </c>
    </row>
    <row r="324" spans="1:15" x14ac:dyDescent="0.3">
      <c r="A324" s="2" t="s">
        <v>332</v>
      </c>
      <c r="B324" s="1" t="s">
        <v>616</v>
      </c>
      <c r="C324" s="6" t="str">
        <f t="shared" si="5"/>
        <v>December</v>
      </c>
      <c r="D324" s="1" t="s">
        <v>784</v>
      </c>
      <c r="E324" s="1" t="s">
        <v>793</v>
      </c>
      <c r="F324" s="1" t="s">
        <v>796</v>
      </c>
      <c r="G324" s="1" t="s">
        <v>802</v>
      </c>
      <c r="H324" s="1" t="s">
        <v>809</v>
      </c>
      <c r="I324" s="10" t="s">
        <v>812</v>
      </c>
      <c r="J324" s="1" t="s">
        <v>818</v>
      </c>
      <c r="K324" s="24">
        <v>3</v>
      </c>
      <c r="L324" s="25">
        <v>4</v>
      </c>
      <c r="M324" s="16">
        <v>26890</v>
      </c>
      <c r="N324" s="16">
        <v>131223.20000000001</v>
      </c>
      <c r="O324" s="15">
        <v>23663.200000000012</v>
      </c>
    </row>
    <row r="325" spans="1:15" x14ac:dyDescent="0.3">
      <c r="A325" s="2" t="s">
        <v>333</v>
      </c>
      <c r="B325" s="1" t="s">
        <v>705</v>
      </c>
      <c r="C325" s="6" t="str">
        <f t="shared" si="5"/>
        <v>December</v>
      </c>
      <c r="D325" s="1" t="s">
        <v>785</v>
      </c>
      <c r="E325" s="1" t="s">
        <v>792</v>
      </c>
      <c r="F325" s="1" t="s">
        <v>795</v>
      </c>
      <c r="G325" s="1" t="s">
        <v>803</v>
      </c>
      <c r="H325" s="1" t="s">
        <v>807</v>
      </c>
      <c r="I325" s="10" t="s">
        <v>811</v>
      </c>
      <c r="J325" s="1" t="s">
        <v>818</v>
      </c>
      <c r="K325" s="24">
        <v>32</v>
      </c>
      <c r="L325" s="25">
        <v>1</v>
      </c>
      <c r="M325" s="16">
        <v>15190</v>
      </c>
      <c r="N325" s="16">
        <v>18076.099999999999</v>
      </c>
      <c r="O325" s="15">
        <v>2886.0999999999985</v>
      </c>
    </row>
    <row r="326" spans="1:15" x14ac:dyDescent="0.3">
      <c r="A326" s="2" t="s">
        <v>334</v>
      </c>
      <c r="B326" s="1" t="s">
        <v>724</v>
      </c>
      <c r="C326" s="6" t="str">
        <f t="shared" si="5"/>
        <v>March</v>
      </c>
      <c r="D326" s="1" t="s">
        <v>786</v>
      </c>
      <c r="E326" s="1" t="s">
        <v>790</v>
      </c>
      <c r="F326" s="1" t="s">
        <v>796</v>
      </c>
      <c r="G326" s="1" t="s">
        <v>799</v>
      </c>
      <c r="H326" s="1" t="s">
        <v>804</v>
      </c>
      <c r="I326" s="10" t="s">
        <v>814</v>
      </c>
      <c r="J326" s="1" t="s">
        <v>818</v>
      </c>
      <c r="K326" s="24">
        <v>87</v>
      </c>
      <c r="L326" s="25">
        <v>17</v>
      </c>
      <c r="M326" s="16">
        <v>223365</v>
      </c>
      <c r="N326" s="16">
        <v>4632590.0999999996</v>
      </c>
      <c r="O326" s="15">
        <v>835385.09999999963</v>
      </c>
    </row>
    <row r="327" spans="1:15" x14ac:dyDescent="0.3">
      <c r="A327" s="2" t="s">
        <v>335</v>
      </c>
      <c r="B327" s="1" t="s">
        <v>725</v>
      </c>
      <c r="C327" s="6" t="str">
        <f t="shared" si="5"/>
        <v>January</v>
      </c>
      <c r="D327" s="1" t="s">
        <v>788</v>
      </c>
      <c r="E327" s="1" t="s">
        <v>793</v>
      </c>
      <c r="F327" s="1" t="s">
        <v>795</v>
      </c>
      <c r="G327" s="1" t="s">
        <v>798</v>
      </c>
      <c r="H327" s="1" t="s">
        <v>805</v>
      </c>
      <c r="I327" s="10" t="s">
        <v>811</v>
      </c>
      <c r="J327" s="1" t="s">
        <v>820</v>
      </c>
      <c r="K327" s="24">
        <v>52</v>
      </c>
      <c r="L327" s="25">
        <v>11</v>
      </c>
      <c r="M327" s="16">
        <v>964</v>
      </c>
      <c r="N327" s="16">
        <v>12618.76</v>
      </c>
      <c r="O327" s="15">
        <v>2014.7600000000002</v>
      </c>
    </row>
    <row r="328" spans="1:15" x14ac:dyDescent="0.3">
      <c r="A328" s="2" t="s">
        <v>336</v>
      </c>
      <c r="B328" s="1" t="s">
        <v>718</v>
      </c>
      <c r="C328" s="6" t="str">
        <f t="shared" si="5"/>
        <v>June</v>
      </c>
      <c r="D328" s="1" t="s">
        <v>787</v>
      </c>
      <c r="E328" s="1" t="s">
        <v>790</v>
      </c>
      <c r="F328" s="1" t="s">
        <v>794</v>
      </c>
      <c r="G328" s="1" t="s">
        <v>797</v>
      </c>
      <c r="H328" s="1" t="s">
        <v>808</v>
      </c>
      <c r="I328" s="10" t="s">
        <v>813</v>
      </c>
      <c r="J328" s="1" t="s">
        <v>820</v>
      </c>
      <c r="K328" s="24">
        <v>52</v>
      </c>
      <c r="L328" s="25">
        <v>10</v>
      </c>
      <c r="M328" s="16">
        <v>904</v>
      </c>
      <c r="N328" s="16">
        <v>10396</v>
      </c>
      <c r="O328" s="15">
        <v>1356</v>
      </c>
    </row>
    <row r="329" spans="1:15" x14ac:dyDescent="0.3">
      <c r="A329" s="2" t="s">
        <v>337</v>
      </c>
      <c r="B329" s="1" t="s">
        <v>560</v>
      </c>
      <c r="C329" s="6" t="str">
        <f t="shared" si="5"/>
        <v>November</v>
      </c>
      <c r="D329" s="1" t="s">
        <v>789</v>
      </c>
      <c r="E329" s="1" t="s">
        <v>791</v>
      </c>
      <c r="F329" s="1" t="s">
        <v>796</v>
      </c>
      <c r="G329" s="1" t="s">
        <v>800</v>
      </c>
      <c r="H329" s="1" t="s">
        <v>810</v>
      </c>
      <c r="I329" s="10" t="s">
        <v>814</v>
      </c>
      <c r="J329" s="1" t="s">
        <v>817</v>
      </c>
      <c r="K329" s="24">
        <v>77</v>
      </c>
      <c r="L329" s="25">
        <v>20</v>
      </c>
      <c r="M329" s="16">
        <v>146210</v>
      </c>
      <c r="N329" s="16">
        <v>3567524</v>
      </c>
      <c r="O329" s="15">
        <v>643324</v>
      </c>
    </row>
    <row r="330" spans="1:15" x14ac:dyDescent="0.3">
      <c r="A330" s="2" t="s">
        <v>338</v>
      </c>
      <c r="B330" s="1" t="s">
        <v>599</v>
      </c>
      <c r="C330" s="6" t="str">
        <f t="shared" si="5"/>
        <v>July</v>
      </c>
      <c r="D330" s="1" t="s">
        <v>786</v>
      </c>
      <c r="E330" s="1" t="s">
        <v>793</v>
      </c>
      <c r="F330" s="1" t="s">
        <v>794</v>
      </c>
      <c r="G330" s="1" t="s">
        <v>801</v>
      </c>
      <c r="H330" s="1" t="s">
        <v>806</v>
      </c>
      <c r="I330" s="10" t="s">
        <v>813</v>
      </c>
      <c r="J330" s="1" t="s">
        <v>819</v>
      </c>
      <c r="K330" s="24">
        <v>70</v>
      </c>
      <c r="L330" s="25">
        <v>10</v>
      </c>
      <c r="M330" s="16">
        <v>580</v>
      </c>
      <c r="N330" s="16">
        <v>6670</v>
      </c>
      <c r="O330" s="15">
        <v>870</v>
      </c>
    </row>
    <row r="331" spans="1:15" x14ac:dyDescent="0.3">
      <c r="A331" s="2" t="s">
        <v>339</v>
      </c>
      <c r="B331" s="1" t="s">
        <v>608</v>
      </c>
      <c r="C331" s="6" t="str">
        <f t="shared" si="5"/>
        <v>August</v>
      </c>
      <c r="D331" s="1" t="s">
        <v>787</v>
      </c>
      <c r="E331" s="1" t="s">
        <v>792</v>
      </c>
      <c r="F331" s="1" t="s">
        <v>794</v>
      </c>
      <c r="G331" s="1" t="s">
        <v>797</v>
      </c>
      <c r="H331" s="1" t="s">
        <v>808</v>
      </c>
      <c r="I331" s="10" t="s">
        <v>815</v>
      </c>
      <c r="J331" s="1" t="s">
        <v>819</v>
      </c>
      <c r="K331" s="24">
        <v>87</v>
      </c>
      <c r="L331" s="25">
        <v>15</v>
      </c>
      <c r="M331" s="16">
        <v>4136</v>
      </c>
      <c r="N331" s="16">
        <v>71346</v>
      </c>
      <c r="O331" s="15">
        <v>9306</v>
      </c>
    </row>
    <row r="332" spans="1:15" x14ac:dyDescent="0.3">
      <c r="A332" s="2" t="s">
        <v>340</v>
      </c>
      <c r="B332" s="1" t="s">
        <v>726</v>
      </c>
      <c r="C332" s="6" t="str">
        <f t="shared" si="5"/>
        <v>September</v>
      </c>
      <c r="D332" s="1" t="s">
        <v>784</v>
      </c>
      <c r="E332" s="1" t="s">
        <v>792</v>
      </c>
      <c r="F332" s="1" t="s">
        <v>796</v>
      </c>
      <c r="G332" s="1" t="s">
        <v>800</v>
      </c>
      <c r="H332" s="1" t="s">
        <v>810</v>
      </c>
      <c r="I332" s="10" t="s">
        <v>814</v>
      </c>
      <c r="J332" s="1" t="s">
        <v>816</v>
      </c>
      <c r="K332" s="24">
        <v>69</v>
      </c>
      <c r="L332" s="25">
        <v>1</v>
      </c>
      <c r="M332" s="16">
        <v>157000</v>
      </c>
      <c r="N332" s="16">
        <v>191540</v>
      </c>
      <c r="O332" s="15">
        <v>34540</v>
      </c>
    </row>
    <row r="333" spans="1:15" x14ac:dyDescent="0.3">
      <c r="A333" s="2" t="s">
        <v>341</v>
      </c>
      <c r="B333" s="1" t="s">
        <v>554</v>
      </c>
      <c r="C333" s="6" t="str">
        <f t="shared" si="5"/>
        <v>August</v>
      </c>
      <c r="D333" s="1" t="s">
        <v>787</v>
      </c>
      <c r="E333" s="1" t="s">
        <v>791</v>
      </c>
      <c r="F333" s="1" t="s">
        <v>794</v>
      </c>
      <c r="G333" s="1" t="s">
        <v>801</v>
      </c>
      <c r="H333" s="1" t="s">
        <v>806</v>
      </c>
      <c r="I333" s="10" t="s">
        <v>813</v>
      </c>
      <c r="J333" s="1" t="s">
        <v>820</v>
      </c>
      <c r="K333" s="24">
        <v>51</v>
      </c>
      <c r="L333" s="25">
        <v>5</v>
      </c>
      <c r="M333" s="16">
        <v>840</v>
      </c>
      <c r="N333" s="16">
        <v>4830</v>
      </c>
      <c r="O333" s="15">
        <v>630</v>
      </c>
    </row>
    <row r="334" spans="1:15" x14ac:dyDescent="0.3">
      <c r="A334" s="2" t="s">
        <v>342</v>
      </c>
      <c r="B334" s="1" t="s">
        <v>709</v>
      </c>
      <c r="C334" s="6" t="str">
        <f t="shared" si="5"/>
        <v>March</v>
      </c>
      <c r="D334" s="1" t="s">
        <v>784</v>
      </c>
      <c r="E334" s="1" t="s">
        <v>790</v>
      </c>
      <c r="F334" s="1" t="s">
        <v>794</v>
      </c>
      <c r="G334" s="1" t="s">
        <v>801</v>
      </c>
      <c r="H334" s="1" t="s">
        <v>806</v>
      </c>
      <c r="I334" s="10" t="s">
        <v>815</v>
      </c>
      <c r="J334" s="1" t="s">
        <v>818</v>
      </c>
      <c r="K334" s="24">
        <v>67</v>
      </c>
      <c r="L334" s="25">
        <v>12</v>
      </c>
      <c r="M334" s="16">
        <v>1226</v>
      </c>
      <c r="N334" s="16">
        <v>16918.8</v>
      </c>
      <c r="O334" s="15">
        <v>2206.7999999999993</v>
      </c>
    </row>
    <row r="335" spans="1:15" x14ac:dyDescent="0.3">
      <c r="A335" s="2" t="s">
        <v>343</v>
      </c>
      <c r="B335" s="1" t="s">
        <v>727</v>
      </c>
      <c r="C335" s="6" t="str">
        <f t="shared" si="5"/>
        <v>February</v>
      </c>
      <c r="D335" s="1" t="s">
        <v>784</v>
      </c>
      <c r="E335" s="1" t="s">
        <v>792</v>
      </c>
      <c r="F335" s="1" t="s">
        <v>794</v>
      </c>
      <c r="G335" s="1" t="s">
        <v>801</v>
      </c>
      <c r="H335" s="1" t="s">
        <v>806</v>
      </c>
      <c r="I335" s="10" t="s">
        <v>813</v>
      </c>
      <c r="J335" s="1" t="s">
        <v>817</v>
      </c>
      <c r="K335" s="24">
        <v>63</v>
      </c>
      <c r="L335" s="25">
        <v>12</v>
      </c>
      <c r="M335" s="16">
        <v>1404</v>
      </c>
      <c r="N335" s="16">
        <v>19375.2</v>
      </c>
      <c r="O335" s="15">
        <v>2527.2000000000007</v>
      </c>
    </row>
    <row r="336" spans="1:15" x14ac:dyDescent="0.3">
      <c r="A336" s="2" t="s">
        <v>344</v>
      </c>
      <c r="B336" s="1" t="s">
        <v>635</v>
      </c>
      <c r="C336" s="6" t="str">
        <f t="shared" si="5"/>
        <v>July</v>
      </c>
      <c r="D336" s="1" t="s">
        <v>788</v>
      </c>
      <c r="E336" s="1" t="s">
        <v>793</v>
      </c>
      <c r="F336" s="1" t="s">
        <v>794</v>
      </c>
      <c r="G336" s="1" t="s">
        <v>797</v>
      </c>
      <c r="H336" s="1" t="s">
        <v>808</v>
      </c>
      <c r="I336" s="10" t="s">
        <v>815</v>
      </c>
      <c r="J336" s="1" t="s">
        <v>819</v>
      </c>
      <c r="K336" s="24">
        <v>31</v>
      </c>
      <c r="L336" s="25">
        <v>12</v>
      </c>
      <c r="M336" s="16">
        <v>1025</v>
      </c>
      <c r="N336" s="16">
        <v>14145</v>
      </c>
      <c r="O336" s="15">
        <v>1845</v>
      </c>
    </row>
    <row r="337" spans="1:15" x14ac:dyDescent="0.3">
      <c r="A337" s="2" t="s">
        <v>345</v>
      </c>
      <c r="B337" s="1" t="s">
        <v>728</v>
      </c>
      <c r="C337" s="6" t="str">
        <f t="shared" si="5"/>
        <v>June</v>
      </c>
      <c r="D337" s="1" t="s">
        <v>788</v>
      </c>
      <c r="E337" s="1" t="s">
        <v>793</v>
      </c>
      <c r="F337" s="1" t="s">
        <v>796</v>
      </c>
      <c r="G337" s="1" t="s">
        <v>800</v>
      </c>
      <c r="H337" s="1" t="s">
        <v>810</v>
      </c>
      <c r="I337" s="10" t="s">
        <v>814</v>
      </c>
      <c r="J337" s="1" t="s">
        <v>819</v>
      </c>
      <c r="K337" s="24">
        <v>26</v>
      </c>
      <c r="L337" s="25">
        <v>2</v>
      </c>
      <c r="M337" s="16">
        <v>67000</v>
      </c>
      <c r="N337" s="16">
        <v>163480</v>
      </c>
      <c r="O337" s="15">
        <v>29480</v>
      </c>
    </row>
    <row r="338" spans="1:15" x14ac:dyDescent="0.3">
      <c r="A338" s="2" t="s">
        <v>346</v>
      </c>
      <c r="B338" s="1" t="s">
        <v>729</v>
      </c>
      <c r="C338" s="6" t="str">
        <f t="shared" si="5"/>
        <v>June</v>
      </c>
      <c r="D338" s="1" t="s">
        <v>788</v>
      </c>
      <c r="E338" s="1" t="s">
        <v>791</v>
      </c>
      <c r="F338" s="1" t="s">
        <v>796</v>
      </c>
      <c r="G338" s="1" t="s">
        <v>799</v>
      </c>
      <c r="H338" s="1" t="s">
        <v>804</v>
      </c>
      <c r="I338" s="10" t="s">
        <v>812</v>
      </c>
      <c r="J338" s="1" t="s">
        <v>819</v>
      </c>
      <c r="K338" s="24">
        <v>48</v>
      </c>
      <c r="L338" s="25">
        <v>20</v>
      </c>
      <c r="M338" s="16">
        <v>28560</v>
      </c>
      <c r="N338" s="16">
        <v>696864</v>
      </c>
      <c r="O338" s="15">
        <v>125664</v>
      </c>
    </row>
    <row r="339" spans="1:15" x14ac:dyDescent="0.3">
      <c r="A339" s="2" t="s">
        <v>347</v>
      </c>
      <c r="B339" s="1" t="s">
        <v>617</v>
      </c>
      <c r="C339" s="6" t="str">
        <f t="shared" si="5"/>
        <v>February</v>
      </c>
      <c r="D339" s="1" t="s">
        <v>789</v>
      </c>
      <c r="E339" s="1" t="s">
        <v>790</v>
      </c>
      <c r="F339" s="1" t="s">
        <v>794</v>
      </c>
      <c r="G339" s="1" t="s">
        <v>801</v>
      </c>
      <c r="H339" s="1" t="s">
        <v>806</v>
      </c>
      <c r="I339" s="10" t="s">
        <v>815</v>
      </c>
      <c r="J339" s="1" t="s">
        <v>816</v>
      </c>
      <c r="K339" s="24">
        <v>31</v>
      </c>
      <c r="L339" s="25">
        <v>3</v>
      </c>
      <c r="M339" s="16">
        <v>4675</v>
      </c>
      <c r="N339" s="16">
        <v>16128.75</v>
      </c>
      <c r="O339" s="15">
        <v>2103.75</v>
      </c>
    </row>
    <row r="340" spans="1:15" x14ac:dyDescent="0.3">
      <c r="A340" s="2" t="s">
        <v>348</v>
      </c>
      <c r="B340" s="1" t="s">
        <v>555</v>
      </c>
      <c r="C340" s="6" t="str">
        <f t="shared" si="5"/>
        <v>July</v>
      </c>
      <c r="D340" s="1" t="s">
        <v>784</v>
      </c>
      <c r="E340" s="1" t="s">
        <v>792</v>
      </c>
      <c r="F340" s="1" t="s">
        <v>795</v>
      </c>
      <c r="G340" s="1" t="s">
        <v>803</v>
      </c>
      <c r="H340" s="1" t="s">
        <v>807</v>
      </c>
      <c r="I340" s="10" t="s">
        <v>811</v>
      </c>
      <c r="J340" s="1" t="s">
        <v>820</v>
      </c>
      <c r="K340" s="24">
        <v>9</v>
      </c>
      <c r="L340" s="25">
        <v>9</v>
      </c>
      <c r="M340" s="16">
        <v>32670</v>
      </c>
      <c r="N340" s="16">
        <v>349895.7</v>
      </c>
      <c r="O340" s="15">
        <v>55865.700000000012</v>
      </c>
    </row>
    <row r="341" spans="1:15" x14ac:dyDescent="0.3">
      <c r="A341" s="2" t="s">
        <v>349</v>
      </c>
      <c r="B341" s="1" t="s">
        <v>553</v>
      </c>
      <c r="C341" s="6" t="str">
        <f t="shared" si="5"/>
        <v>April</v>
      </c>
      <c r="D341" s="1" t="s">
        <v>786</v>
      </c>
      <c r="E341" s="1" t="s">
        <v>790</v>
      </c>
      <c r="F341" s="1" t="s">
        <v>796</v>
      </c>
      <c r="G341" s="1" t="s">
        <v>802</v>
      </c>
      <c r="H341" s="1" t="s">
        <v>809</v>
      </c>
      <c r="I341" s="10" t="s">
        <v>814</v>
      </c>
      <c r="J341" s="1" t="s">
        <v>817</v>
      </c>
      <c r="K341" s="24">
        <v>47</v>
      </c>
      <c r="L341" s="25">
        <v>3</v>
      </c>
      <c r="M341" s="16">
        <v>31540</v>
      </c>
      <c r="N341" s="16">
        <v>115436.4</v>
      </c>
      <c r="O341" s="15">
        <v>20816.399999999994</v>
      </c>
    </row>
    <row r="342" spans="1:15" x14ac:dyDescent="0.3">
      <c r="A342" s="2" t="s">
        <v>350</v>
      </c>
      <c r="B342" s="1" t="s">
        <v>730</v>
      </c>
      <c r="C342" s="6" t="str">
        <f t="shared" si="5"/>
        <v>January</v>
      </c>
      <c r="D342" s="1" t="s">
        <v>789</v>
      </c>
      <c r="E342" s="1" t="s">
        <v>793</v>
      </c>
      <c r="F342" s="1" t="s">
        <v>795</v>
      </c>
      <c r="G342" s="1" t="s">
        <v>803</v>
      </c>
      <c r="H342" s="1" t="s">
        <v>807</v>
      </c>
      <c r="I342" s="10" t="s">
        <v>811</v>
      </c>
      <c r="J342" s="1" t="s">
        <v>816</v>
      </c>
      <c r="K342" s="24">
        <v>3</v>
      </c>
      <c r="L342" s="25">
        <v>9</v>
      </c>
      <c r="M342" s="16">
        <v>39920</v>
      </c>
      <c r="N342" s="16">
        <v>427543.2</v>
      </c>
      <c r="O342" s="15">
        <v>68263.200000000012</v>
      </c>
    </row>
    <row r="343" spans="1:15" x14ac:dyDescent="0.3">
      <c r="A343" s="2" t="s">
        <v>351</v>
      </c>
      <c r="B343" s="1" t="s">
        <v>649</v>
      </c>
      <c r="C343" s="6" t="str">
        <f t="shared" si="5"/>
        <v>October</v>
      </c>
      <c r="D343" s="1" t="s">
        <v>784</v>
      </c>
      <c r="E343" s="1" t="s">
        <v>790</v>
      </c>
      <c r="F343" s="1" t="s">
        <v>795</v>
      </c>
      <c r="G343" s="1" t="s">
        <v>803</v>
      </c>
      <c r="H343" s="1" t="s">
        <v>807</v>
      </c>
      <c r="I343" s="10" t="s">
        <v>811</v>
      </c>
      <c r="J343" s="1" t="s">
        <v>817</v>
      </c>
      <c r="K343" s="24">
        <v>72</v>
      </c>
      <c r="L343" s="25">
        <v>5</v>
      </c>
      <c r="M343" s="16">
        <v>42310</v>
      </c>
      <c r="N343" s="16">
        <v>251744.5</v>
      </c>
      <c r="O343" s="15">
        <v>40194.5</v>
      </c>
    </row>
    <row r="344" spans="1:15" x14ac:dyDescent="0.3">
      <c r="A344" s="2" t="s">
        <v>352</v>
      </c>
      <c r="B344" s="1" t="s">
        <v>731</v>
      </c>
      <c r="C344" s="6" t="str">
        <f t="shared" si="5"/>
        <v>April</v>
      </c>
      <c r="D344" s="1" t="s">
        <v>784</v>
      </c>
      <c r="E344" s="1" t="s">
        <v>792</v>
      </c>
      <c r="F344" s="1" t="s">
        <v>795</v>
      </c>
      <c r="G344" s="1" t="s">
        <v>803</v>
      </c>
      <c r="H344" s="1" t="s">
        <v>807</v>
      </c>
      <c r="I344" s="10" t="s">
        <v>811</v>
      </c>
      <c r="J344" s="1" t="s">
        <v>818</v>
      </c>
      <c r="K344" s="24">
        <v>19</v>
      </c>
      <c r="L344" s="25">
        <v>5</v>
      </c>
      <c r="M344" s="16">
        <v>34250</v>
      </c>
      <c r="N344" s="16">
        <v>203787.5</v>
      </c>
      <c r="O344" s="15">
        <v>32537.5</v>
      </c>
    </row>
    <row r="345" spans="1:15" x14ac:dyDescent="0.3">
      <c r="A345" s="2" t="s">
        <v>353</v>
      </c>
      <c r="B345" s="1" t="s">
        <v>732</v>
      </c>
      <c r="C345" s="6" t="str">
        <f t="shared" si="5"/>
        <v>February</v>
      </c>
      <c r="D345" s="1" t="s">
        <v>785</v>
      </c>
      <c r="E345" s="1" t="s">
        <v>790</v>
      </c>
      <c r="F345" s="1" t="s">
        <v>794</v>
      </c>
      <c r="G345" s="1" t="s">
        <v>801</v>
      </c>
      <c r="H345" s="1" t="s">
        <v>806</v>
      </c>
      <c r="I345" s="10" t="s">
        <v>815</v>
      </c>
      <c r="J345" s="1" t="s">
        <v>820</v>
      </c>
      <c r="K345" s="24">
        <v>31</v>
      </c>
      <c r="L345" s="25">
        <v>11</v>
      </c>
      <c r="M345" s="16">
        <v>609</v>
      </c>
      <c r="N345" s="16">
        <v>7703.85</v>
      </c>
      <c r="O345" s="15">
        <v>1004.8500000000004</v>
      </c>
    </row>
    <row r="346" spans="1:15" x14ac:dyDescent="0.3">
      <c r="A346" s="2" t="s">
        <v>354</v>
      </c>
      <c r="B346" s="1" t="s">
        <v>733</v>
      </c>
      <c r="C346" s="6" t="str">
        <f t="shared" si="5"/>
        <v>October</v>
      </c>
      <c r="D346" s="1" t="s">
        <v>785</v>
      </c>
      <c r="E346" s="1" t="s">
        <v>790</v>
      </c>
      <c r="F346" s="1" t="s">
        <v>796</v>
      </c>
      <c r="G346" s="1" t="s">
        <v>799</v>
      </c>
      <c r="H346" s="1" t="s">
        <v>804</v>
      </c>
      <c r="I346" s="10" t="s">
        <v>814</v>
      </c>
      <c r="J346" s="1" t="s">
        <v>819</v>
      </c>
      <c r="K346" s="24">
        <v>3</v>
      </c>
      <c r="L346" s="25">
        <v>1</v>
      </c>
      <c r="M346" s="16">
        <v>100065</v>
      </c>
      <c r="N346" s="16">
        <v>122079.3</v>
      </c>
      <c r="O346" s="15">
        <v>22014.300000000003</v>
      </c>
    </row>
    <row r="347" spans="1:15" x14ac:dyDescent="0.3">
      <c r="A347" s="2" t="s">
        <v>355</v>
      </c>
      <c r="B347" s="1" t="s">
        <v>634</v>
      </c>
      <c r="C347" s="6" t="str">
        <f t="shared" si="5"/>
        <v>May</v>
      </c>
      <c r="D347" s="1" t="s">
        <v>786</v>
      </c>
      <c r="E347" s="1" t="s">
        <v>792</v>
      </c>
      <c r="F347" s="1" t="s">
        <v>795</v>
      </c>
      <c r="G347" s="1" t="s">
        <v>803</v>
      </c>
      <c r="H347" s="1" t="s">
        <v>807</v>
      </c>
      <c r="I347" s="10" t="s">
        <v>811</v>
      </c>
      <c r="J347" s="1" t="s">
        <v>817</v>
      </c>
      <c r="K347" s="24">
        <v>31</v>
      </c>
      <c r="L347" s="25">
        <v>5</v>
      </c>
      <c r="M347" s="16">
        <v>15860</v>
      </c>
      <c r="N347" s="16">
        <v>94367</v>
      </c>
      <c r="O347" s="15">
        <v>15067</v>
      </c>
    </row>
    <row r="348" spans="1:15" x14ac:dyDescent="0.3">
      <c r="A348" s="2" t="s">
        <v>356</v>
      </c>
      <c r="B348" s="1" t="s">
        <v>718</v>
      </c>
      <c r="C348" s="6" t="str">
        <f t="shared" si="5"/>
        <v>June</v>
      </c>
      <c r="D348" s="1" t="s">
        <v>789</v>
      </c>
      <c r="E348" s="1" t="s">
        <v>792</v>
      </c>
      <c r="F348" s="1" t="s">
        <v>794</v>
      </c>
      <c r="G348" s="1" t="s">
        <v>797</v>
      </c>
      <c r="H348" s="1" t="s">
        <v>808</v>
      </c>
      <c r="I348" s="10" t="s">
        <v>813</v>
      </c>
      <c r="J348" s="1" t="s">
        <v>818</v>
      </c>
      <c r="K348" s="24">
        <v>56</v>
      </c>
      <c r="L348" s="25">
        <v>3</v>
      </c>
      <c r="M348" s="16">
        <v>2860</v>
      </c>
      <c r="N348" s="16">
        <v>9867</v>
      </c>
      <c r="O348" s="15">
        <v>1287</v>
      </c>
    </row>
    <row r="349" spans="1:15" x14ac:dyDescent="0.3">
      <c r="A349" s="2" t="s">
        <v>357</v>
      </c>
      <c r="B349" s="1" t="s">
        <v>706</v>
      </c>
      <c r="C349" s="6" t="str">
        <f t="shared" si="5"/>
        <v>June</v>
      </c>
      <c r="D349" s="1" t="s">
        <v>788</v>
      </c>
      <c r="E349" s="1" t="s">
        <v>790</v>
      </c>
      <c r="F349" s="1" t="s">
        <v>794</v>
      </c>
      <c r="G349" s="1" t="s">
        <v>797</v>
      </c>
      <c r="H349" s="1" t="s">
        <v>808</v>
      </c>
      <c r="I349" s="10" t="s">
        <v>815</v>
      </c>
      <c r="J349" s="1" t="s">
        <v>820</v>
      </c>
      <c r="K349" s="24">
        <v>55</v>
      </c>
      <c r="L349" s="25">
        <v>13</v>
      </c>
      <c r="M349" s="16">
        <v>760</v>
      </c>
      <c r="N349" s="16">
        <v>11362</v>
      </c>
      <c r="O349" s="15">
        <v>1482</v>
      </c>
    </row>
    <row r="350" spans="1:15" x14ac:dyDescent="0.3">
      <c r="A350" s="2" t="s">
        <v>358</v>
      </c>
      <c r="B350" s="1" t="s">
        <v>734</v>
      </c>
      <c r="C350" s="6" t="str">
        <f t="shared" si="5"/>
        <v>March</v>
      </c>
      <c r="D350" s="1" t="s">
        <v>785</v>
      </c>
      <c r="E350" s="1" t="s">
        <v>793</v>
      </c>
      <c r="F350" s="1" t="s">
        <v>796</v>
      </c>
      <c r="G350" s="1" t="s">
        <v>800</v>
      </c>
      <c r="H350" s="1" t="s">
        <v>810</v>
      </c>
      <c r="I350" s="10" t="s">
        <v>812</v>
      </c>
      <c r="J350" s="1" t="s">
        <v>817</v>
      </c>
      <c r="K350" s="24">
        <v>65</v>
      </c>
      <c r="L350" s="25">
        <v>13</v>
      </c>
      <c r="M350" s="16">
        <v>142130</v>
      </c>
      <c r="N350" s="16">
        <v>2254181.7999999998</v>
      </c>
      <c r="O350" s="15">
        <v>406491.79999999981</v>
      </c>
    </row>
    <row r="351" spans="1:15" x14ac:dyDescent="0.3">
      <c r="A351" s="2" t="s">
        <v>359</v>
      </c>
      <c r="B351" s="1" t="s">
        <v>735</v>
      </c>
      <c r="C351" s="6" t="str">
        <f t="shared" si="5"/>
        <v>April</v>
      </c>
      <c r="D351" s="1" t="s">
        <v>788</v>
      </c>
      <c r="E351" s="1" t="s">
        <v>790</v>
      </c>
      <c r="F351" s="1" t="s">
        <v>796</v>
      </c>
      <c r="G351" s="1" t="s">
        <v>802</v>
      </c>
      <c r="H351" s="1" t="s">
        <v>809</v>
      </c>
      <c r="I351" s="10" t="s">
        <v>814</v>
      </c>
      <c r="J351" s="1" t="s">
        <v>820</v>
      </c>
      <c r="K351" s="24">
        <v>92</v>
      </c>
      <c r="L351" s="25">
        <v>4</v>
      </c>
      <c r="M351" s="16">
        <v>26360</v>
      </c>
      <c r="N351" s="16">
        <v>128636.8</v>
      </c>
      <c r="O351" s="15">
        <v>23196.800000000003</v>
      </c>
    </row>
    <row r="352" spans="1:15" x14ac:dyDescent="0.3">
      <c r="A352" s="2" t="s">
        <v>360</v>
      </c>
      <c r="B352" s="1" t="s">
        <v>637</v>
      </c>
      <c r="C352" s="6" t="str">
        <f t="shared" si="5"/>
        <v>April</v>
      </c>
      <c r="D352" s="1" t="s">
        <v>785</v>
      </c>
      <c r="E352" s="1" t="s">
        <v>792</v>
      </c>
      <c r="F352" s="1" t="s">
        <v>795</v>
      </c>
      <c r="G352" s="1" t="s">
        <v>798</v>
      </c>
      <c r="H352" s="1" t="s">
        <v>805</v>
      </c>
      <c r="I352" s="10" t="s">
        <v>811</v>
      </c>
      <c r="J352" s="1" t="s">
        <v>819</v>
      </c>
      <c r="K352" s="24">
        <v>8</v>
      </c>
      <c r="L352" s="25">
        <v>10</v>
      </c>
      <c r="M352" s="16">
        <v>1100</v>
      </c>
      <c r="N352" s="16">
        <v>13090</v>
      </c>
      <c r="O352" s="15">
        <v>2090</v>
      </c>
    </row>
    <row r="353" spans="1:15" x14ac:dyDescent="0.3">
      <c r="A353" s="2" t="s">
        <v>361</v>
      </c>
      <c r="B353" s="1" t="s">
        <v>515</v>
      </c>
      <c r="C353" s="6" t="str">
        <f t="shared" si="5"/>
        <v>September</v>
      </c>
      <c r="D353" s="1" t="s">
        <v>784</v>
      </c>
      <c r="E353" s="1" t="s">
        <v>791</v>
      </c>
      <c r="F353" s="1" t="s">
        <v>795</v>
      </c>
      <c r="G353" s="1" t="s">
        <v>803</v>
      </c>
      <c r="H353" s="1" t="s">
        <v>807</v>
      </c>
      <c r="I353" s="10" t="s">
        <v>811</v>
      </c>
      <c r="J353" s="1" t="s">
        <v>816</v>
      </c>
      <c r="K353" s="24">
        <v>80</v>
      </c>
      <c r="L353" s="25">
        <v>16</v>
      </c>
      <c r="M353" s="16">
        <v>22810</v>
      </c>
      <c r="N353" s="16">
        <v>434302.4</v>
      </c>
      <c r="O353" s="15">
        <v>69342.400000000023</v>
      </c>
    </row>
    <row r="354" spans="1:15" x14ac:dyDescent="0.3">
      <c r="A354" s="2" t="s">
        <v>362</v>
      </c>
      <c r="B354" s="1" t="s">
        <v>736</v>
      </c>
      <c r="C354" s="6" t="str">
        <f t="shared" si="5"/>
        <v>October</v>
      </c>
      <c r="D354" s="1" t="s">
        <v>789</v>
      </c>
      <c r="E354" s="1" t="s">
        <v>792</v>
      </c>
      <c r="F354" s="1" t="s">
        <v>795</v>
      </c>
      <c r="G354" s="1" t="s">
        <v>798</v>
      </c>
      <c r="H354" s="1" t="s">
        <v>805</v>
      </c>
      <c r="I354" s="10" t="s">
        <v>811</v>
      </c>
      <c r="J354" s="1" t="s">
        <v>817</v>
      </c>
      <c r="K354" s="24">
        <v>85</v>
      </c>
      <c r="L354" s="25">
        <v>14</v>
      </c>
      <c r="M354" s="16">
        <v>1000</v>
      </c>
      <c r="N354" s="16">
        <v>16660</v>
      </c>
      <c r="O354" s="15">
        <v>2660</v>
      </c>
    </row>
    <row r="355" spans="1:15" x14ac:dyDescent="0.3">
      <c r="A355" s="2" t="s">
        <v>363</v>
      </c>
      <c r="B355" s="1" t="s">
        <v>586</v>
      </c>
      <c r="C355" s="6" t="str">
        <f t="shared" si="5"/>
        <v>March</v>
      </c>
      <c r="D355" s="1" t="s">
        <v>788</v>
      </c>
      <c r="E355" s="1" t="s">
        <v>790</v>
      </c>
      <c r="F355" s="1" t="s">
        <v>796</v>
      </c>
      <c r="G355" s="1" t="s">
        <v>800</v>
      </c>
      <c r="H355" s="1" t="s">
        <v>810</v>
      </c>
      <c r="I355" s="10" t="s">
        <v>814</v>
      </c>
      <c r="J355" s="1" t="s">
        <v>820</v>
      </c>
      <c r="K355" s="24">
        <v>23</v>
      </c>
      <c r="L355" s="25">
        <v>17</v>
      </c>
      <c r="M355" s="16">
        <v>68000</v>
      </c>
      <c r="N355" s="16">
        <v>1410320</v>
      </c>
      <c r="O355" s="15">
        <v>254320</v>
      </c>
    </row>
    <row r="356" spans="1:15" x14ac:dyDescent="0.3">
      <c r="A356" s="2" t="s">
        <v>364</v>
      </c>
      <c r="B356" s="1" t="s">
        <v>630</v>
      </c>
      <c r="C356" s="6" t="str">
        <f t="shared" si="5"/>
        <v>May</v>
      </c>
      <c r="D356" s="1" t="s">
        <v>788</v>
      </c>
      <c r="E356" s="1" t="s">
        <v>793</v>
      </c>
      <c r="F356" s="1" t="s">
        <v>795</v>
      </c>
      <c r="G356" s="1" t="s">
        <v>803</v>
      </c>
      <c r="H356" s="1" t="s">
        <v>807</v>
      </c>
      <c r="I356" s="10" t="s">
        <v>811</v>
      </c>
      <c r="J356" s="1" t="s">
        <v>818</v>
      </c>
      <c r="K356" s="24">
        <v>88</v>
      </c>
      <c r="L356" s="25">
        <v>12</v>
      </c>
      <c r="M356" s="16">
        <v>47250</v>
      </c>
      <c r="N356" s="16">
        <v>674730</v>
      </c>
      <c r="O356" s="15">
        <v>107730</v>
      </c>
    </row>
    <row r="357" spans="1:15" x14ac:dyDescent="0.3">
      <c r="A357" s="2" t="s">
        <v>365</v>
      </c>
      <c r="B357" s="1" t="s">
        <v>737</v>
      </c>
      <c r="C357" s="6" t="str">
        <f t="shared" si="5"/>
        <v>January</v>
      </c>
      <c r="D357" s="1" t="s">
        <v>784</v>
      </c>
      <c r="E357" s="1" t="s">
        <v>791</v>
      </c>
      <c r="F357" s="1" t="s">
        <v>796</v>
      </c>
      <c r="G357" s="1" t="s">
        <v>799</v>
      </c>
      <c r="H357" s="1" t="s">
        <v>804</v>
      </c>
      <c r="I357" s="10" t="s">
        <v>814</v>
      </c>
      <c r="J357" s="1" t="s">
        <v>816</v>
      </c>
      <c r="K357" s="24">
        <v>78</v>
      </c>
      <c r="L357" s="25">
        <v>15</v>
      </c>
      <c r="M357" s="16">
        <v>23440</v>
      </c>
      <c r="N357" s="16">
        <v>428952</v>
      </c>
      <c r="O357" s="15">
        <v>77352</v>
      </c>
    </row>
    <row r="358" spans="1:15" x14ac:dyDescent="0.3">
      <c r="A358" s="2" t="s">
        <v>366</v>
      </c>
      <c r="B358" s="1" t="s">
        <v>649</v>
      </c>
      <c r="C358" s="6" t="str">
        <f t="shared" si="5"/>
        <v>October</v>
      </c>
      <c r="D358" s="1" t="s">
        <v>789</v>
      </c>
      <c r="E358" s="1" t="s">
        <v>793</v>
      </c>
      <c r="F358" s="1" t="s">
        <v>794</v>
      </c>
      <c r="G358" s="1" t="s">
        <v>797</v>
      </c>
      <c r="H358" s="1" t="s">
        <v>808</v>
      </c>
      <c r="I358" s="10" t="s">
        <v>815</v>
      </c>
      <c r="J358" s="1" t="s">
        <v>818</v>
      </c>
      <c r="K358" s="24">
        <v>77</v>
      </c>
      <c r="L358" s="25">
        <v>5</v>
      </c>
      <c r="M358" s="16">
        <v>1095</v>
      </c>
      <c r="N358" s="16">
        <v>6296.25</v>
      </c>
      <c r="O358" s="15">
        <v>821.25</v>
      </c>
    </row>
    <row r="359" spans="1:15" x14ac:dyDescent="0.3">
      <c r="A359" s="2" t="s">
        <v>367</v>
      </c>
      <c r="B359" s="1" t="s">
        <v>663</v>
      </c>
      <c r="C359" s="6" t="str">
        <f t="shared" si="5"/>
        <v>February</v>
      </c>
      <c r="D359" s="1" t="s">
        <v>787</v>
      </c>
      <c r="E359" s="1" t="s">
        <v>791</v>
      </c>
      <c r="F359" s="1" t="s">
        <v>796</v>
      </c>
      <c r="G359" s="1" t="s">
        <v>799</v>
      </c>
      <c r="H359" s="1" t="s">
        <v>804</v>
      </c>
      <c r="I359" s="10" t="s">
        <v>814</v>
      </c>
      <c r="J359" s="1" t="s">
        <v>820</v>
      </c>
      <c r="K359" s="24">
        <v>96</v>
      </c>
      <c r="L359" s="25">
        <v>3</v>
      </c>
      <c r="M359" s="16">
        <v>78925</v>
      </c>
      <c r="N359" s="16">
        <v>288865.5</v>
      </c>
      <c r="O359" s="15">
        <v>52090.5</v>
      </c>
    </row>
    <row r="360" spans="1:15" x14ac:dyDescent="0.3">
      <c r="A360" s="2" t="s">
        <v>368</v>
      </c>
      <c r="B360" s="1" t="s">
        <v>738</v>
      </c>
      <c r="C360" s="6" t="str">
        <f t="shared" si="5"/>
        <v>December</v>
      </c>
      <c r="D360" s="1" t="s">
        <v>788</v>
      </c>
      <c r="E360" s="1" t="s">
        <v>792</v>
      </c>
      <c r="F360" s="1" t="s">
        <v>796</v>
      </c>
      <c r="G360" s="1" t="s">
        <v>802</v>
      </c>
      <c r="H360" s="1" t="s">
        <v>809</v>
      </c>
      <c r="I360" s="10" t="s">
        <v>814</v>
      </c>
      <c r="J360" s="1" t="s">
        <v>818</v>
      </c>
      <c r="K360" s="24">
        <v>40</v>
      </c>
      <c r="L360" s="25">
        <v>20</v>
      </c>
      <c r="M360" s="16">
        <v>30710</v>
      </c>
      <c r="N360" s="16">
        <v>749324</v>
      </c>
      <c r="O360" s="15">
        <v>135124</v>
      </c>
    </row>
    <row r="361" spans="1:15" x14ac:dyDescent="0.3">
      <c r="A361" s="2" t="s">
        <v>369</v>
      </c>
      <c r="B361" s="1" t="s">
        <v>558</v>
      </c>
      <c r="C361" s="6" t="str">
        <f t="shared" si="5"/>
        <v>December</v>
      </c>
      <c r="D361" s="1" t="s">
        <v>784</v>
      </c>
      <c r="E361" s="1" t="s">
        <v>792</v>
      </c>
      <c r="F361" s="1" t="s">
        <v>796</v>
      </c>
      <c r="G361" s="1" t="s">
        <v>802</v>
      </c>
      <c r="H361" s="1" t="s">
        <v>809</v>
      </c>
      <c r="I361" s="10" t="s">
        <v>814</v>
      </c>
      <c r="J361" s="1" t="s">
        <v>818</v>
      </c>
      <c r="K361" s="24">
        <v>97</v>
      </c>
      <c r="L361" s="25">
        <v>5</v>
      </c>
      <c r="M361" s="16">
        <v>181600</v>
      </c>
      <c r="N361" s="16">
        <v>1107760</v>
      </c>
      <c r="O361" s="15">
        <v>199760</v>
      </c>
    </row>
    <row r="362" spans="1:15" x14ac:dyDescent="0.3">
      <c r="A362" s="2" t="s">
        <v>370</v>
      </c>
      <c r="B362" s="1" t="s">
        <v>721</v>
      </c>
      <c r="C362" s="6" t="str">
        <f t="shared" si="5"/>
        <v>August</v>
      </c>
      <c r="D362" s="1" t="s">
        <v>789</v>
      </c>
      <c r="E362" s="1" t="s">
        <v>793</v>
      </c>
      <c r="F362" s="1" t="s">
        <v>794</v>
      </c>
      <c r="G362" s="1" t="s">
        <v>797</v>
      </c>
      <c r="H362" s="1" t="s">
        <v>808</v>
      </c>
      <c r="I362" s="10" t="s">
        <v>815</v>
      </c>
      <c r="J362" s="1" t="s">
        <v>820</v>
      </c>
      <c r="K362" s="24">
        <v>61</v>
      </c>
      <c r="L362" s="25">
        <v>11</v>
      </c>
      <c r="M362" s="16">
        <v>741</v>
      </c>
      <c r="N362" s="16">
        <v>9373.65</v>
      </c>
      <c r="O362" s="15">
        <v>1222.6499999999996</v>
      </c>
    </row>
    <row r="363" spans="1:15" x14ac:dyDescent="0.3">
      <c r="A363" s="2" t="s">
        <v>371</v>
      </c>
      <c r="B363" s="1" t="s">
        <v>707</v>
      </c>
      <c r="C363" s="6" t="str">
        <f t="shared" si="5"/>
        <v>May</v>
      </c>
      <c r="D363" s="1" t="s">
        <v>788</v>
      </c>
      <c r="E363" s="1" t="s">
        <v>793</v>
      </c>
      <c r="F363" s="1" t="s">
        <v>795</v>
      </c>
      <c r="G363" s="1" t="s">
        <v>798</v>
      </c>
      <c r="H363" s="1" t="s">
        <v>805</v>
      </c>
      <c r="I363" s="10" t="s">
        <v>811</v>
      </c>
      <c r="J363" s="1" t="s">
        <v>816</v>
      </c>
      <c r="K363" s="24">
        <v>91</v>
      </c>
      <c r="L363" s="25">
        <v>17</v>
      </c>
      <c r="M363" s="16">
        <v>3205</v>
      </c>
      <c r="N363" s="16">
        <v>64837.15</v>
      </c>
      <c r="O363" s="15">
        <v>10352.150000000001</v>
      </c>
    </row>
    <row r="364" spans="1:15" x14ac:dyDescent="0.3">
      <c r="A364" s="2" t="s">
        <v>372</v>
      </c>
      <c r="B364" s="1" t="s">
        <v>573</v>
      </c>
      <c r="C364" s="6" t="str">
        <f t="shared" si="5"/>
        <v>September</v>
      </c>
      <c r="D364" s="1" t="s">
        <v>787</v>
      </c>
      <c r="E364" s="1" t="s">
        <v>792</v>
      </c>
      <c r="F364" s="1" t="s">
        <v>796</v>
      </c>
      <c r="G364" s="1" t="s">
        <v>802</v>
      </c>
      <c r="H364" s="1" t="s">
        <v>809</v>
      </c>
      <c r="I364" s="10" t="s">
        <v>814</v>
      </c>
      <c r="J364" s="1" t="s">
        <v>818</v>
      </c>
      <c r="K364" s="24">
        <v>15</v>
      </c>
      <c r="L364" s="25">
        <v>7</v>
      </c>
      <c r="M364" s="16">
        <v>111800</v>
      </c>
      <c r="N364" s="16">
        <v>954772</v>
      </c>
      <c r="O364" s="15">
        <v>172172</v>
      </c>
    </row>
    <row r="365" spans="1:15" x14ac:dyDescent="0.3">
      <c r="A365" s="2" t="s">
        <v>373</v>
      </c>
      <c r="B365" s="1" t="s">
        <v>676</v>
      </c>
      <c r="C365" s="6" t="str">
        <f t="shared" si="5"/>
        <v>September</v>
      </c>
      <c r="D365" s="1" t="s">
        <v>787</v>
      </c>
      <c r="E365" s="1" t="s">
        <v>793</v>
      </c>
      <c r="F365" s="1" t="s">
        <v>794</v>
      </c>
      <c r="G365" s="1" t="s">
        <v>801</v>
      </c>
      <c r="H365" s="1" t="s">
        <v>806</v>
      </c>
      <c r="I365" s="10" t="s">
        <v>813</v>
      </c>
      <c r="J365" s="1" t="s">
        <v>817</v>
      </c>
      <c r="K365" s="24">
        <v>75</v>
      </c>
      <c r="L365" s="25">
        <v>8</v>
      </c>
      <c r="M365" s="16">
        <v>2214</v>
      </c>
      <c r="N365" s="16">
        <v>20368.8</v>
      </c>
      <c r="O365" s="15">
        <v>2656.7999999999993</v>
      </c>
    </row>
    <row r="366" spans="1:15" x14ac:dyDescent="0.3">
      <c r="A366" s="2" t="s">
        <v>374</v>
      </c>
      <c r="B366" s="1" t="s">
        <v>579</v>
      </c>
      <c r="C366" s="6" t="str">
        <f t="shared" si="5"/>
        <v>August</v>
      </c>
      <c r="D366" s="1" t="s">
        <v>788</v>
      </c>
      <c r="E366" s="1" t="s">
        <v>792</v>
      </c>
      <c r="F366" s="1" t="s">
        <v>794</v>
      </c>
      <c r="G366" s="1" t="s">
        <v>801</v>
      </c>
      <c r="H366" s="1" t="s">
        <v>806</v>
      </c>
      <c r="I366" s="10" t="s">
        <v>815</v>
      </c>
      <c r="J366" s="1" t="s">
        <v>817</v>
      </c>
      <c r="K366" s="24">
        <v>57</v>
      </c>
      <c r="L366" s="25">
        <v>5</v>
      </c>
      <c r="M366" s="16">
        <v>2103</v>
      </c>
      <c r="N366" s="16">
        <v>12092.25</v>
      </c>
      <c r="O366" s="15">
        <v>1577.25</v>
      </c>
    </row>
    <row r="367" spans="1:15" x14ac:dyDescent="0.3">
      <c r="A367" s="2" t="s">
        <v>375</v>
      </c>
      <c r="B367" s="1" t="s">
        <v>619</v>
      </c>
      <c r="C367" s="6" t="str">
        <f t="shared" si="5"/>
        <v>February</v>
      </c>
      <c r="D367" s="1" t="s">
        <v>784</v>
      </c>
      <c r="E367" s="1" t="s">
        <v>793</v>
      </c>
      <c r="F367" s="1" t="s">
        <v>796</v>
      </c>
      <c r="G367" s="1" t="s">
        <v>802</v>
      </c>
      <c r="H367" s="1" t="s">
        <v>809</v>
      </c>
      <c r="I367" s="10" t="s">
        <v>814</v>
      </c>
      <c r="J367" s="1" t="s">
        <v>820</v>
      </c>
      <c r="K367" s="24">
        <v>72</v>
      </c>
      <c r="L367" s="25">
        <v>10</v>
      </c>
      <c r="M367" s="16">
        <v>45900</v>
      </c>
      <c r="N367" s="16">
        <v>559980</v>
      </c>
      <c r="O367" s="15">
        <v>100980</v>
      </c>
    </row>
    <row r="368" spans="1:15" x14ac:dyDescent="0.3">
      <c r="A368" s="2" t="s">
        <v>376</v>
      </c>
      <c r="B368" s="1" t="s">
        <v>620</v>
      </c>
      <c r="C368" s="6" t="str">
        <f t="shared" si="5"/>
        <v>July</v>
      </c>
      <c r="D368" s="1" t="s">
        <v>784</v>
      </c>
      <c r="E368" s="1" t="s">
        <v>792</v>
      </c>
      <c r="F368" s="1" t="s">
        <v>794</v>
      </c>
      <c r="G368" s="1" t="s">
        <v>801</v>
      </c>
      <c r="H368" s="1" t="s">
        <v>806</v>
      </c>
      <c r="I368" s="10" t="s">
        <v>815</v>
      </c>
      <c r="J368" s="1" t="s">
        <v>816</v>
      </c>
      <c r="K368" s="24">
        <v>79</v>
      </c>
      <c r="L368" s="25">
        <v>6</v>
      </c>
      <c r="M368" s="16">
        <v>3049</v>
      </c>
      <c r="N368" s="16">
        <v>21038.1</v>
      </c>
      <c r="O368" s="15">
        <v>2744.0999999999985</v>
      </c>
    </row>
    <row r="369" spans="1:15" x14ac:dyDescent="0.3">
      <c r="A369" s="2" t="s">
        <v>377</v>
      </c>
      <c r="B369" s="1" t="s">
        <v>702</v>
      </c>
      <c r="C369" s="6" t="str">
        <f t="shared" si="5"/>
        <v>December</v>
      </c>
      <c r="D369" s="1" t="s">
        <v>787</v>
      </c>
      <c r="E369" s="1" t="s">
        <v>793</v>
      </c>
      <c r="F369" s="1" t="s">
        <v>796</v>
      </c>
      <c r="G369" s="1" t="s">
        <v>799</v>
      </c>
      <c r="H369" s="1" t="s">
        <v>804</v>
      </c>
      <c r="I369" s="10" t="s">
        <v>814</v>
      </c>
      <c r="J369" s="1" t="s">
        <v>816</v>
      </c>
      <c r="K369" s="24">
        <v>37</v>
      </c>
      <c r="L369" s="25">
        <v>4</v>
      </c>
      <c r="M369" s="16">
        <v>98700</v>
      </c>
      <c r="N369" s="16">
        <v>481656</v>
      </c>
      <c r="O369" s="15">
        <v>86856</v>
      </c>
    </row>
    <row r="370" spans="1:15" x14ac:dyDescent="0.3">
      <c r="A370" s="2" t="s">
        <v>378</v>
      </c>
      <c r="B370" s="1" t="s">
        <v>739</v>
      </c>
      <c r="C370" s="6" t="str">
        <f t="shared" si="5"/>
        <v>February</v>
      </c>
      <c r="D370" s="1" t="s">
        <v>787</v>
      </c>
      <c r="E370" s="1" t="s">
        <v>790</v>
      </c>
      <c r="F370" s="1" t="s">
        <v>796</v>
      </c>
      <c r="G370" s="1" t="s">
        <v>800</v>
      </c>
      <c r="H370" s="1" t="s">
        <v>810</v>
      </c>
      <c r="I370" s="10" t="s">
        <v>812</v>
      </c>
      <c r="J370" s="1" t="s">
        <v>820</v>
      </c>
      <c r="K370" s="24">
        <v>98</v>
      </c>
      <c r="L370" s="25">
        <v>1</v>
      </c>
      <c r="M370" s="16">
        <v>69500</v>
      </c>
      <c r="N370" s="16">
        <v>84790</v>
      </c>
      <c r="O370" s="15">
        <v>15290</v>
      </c>
    </row>
    <row r="371" spans="1:15" x14ac:dyDescent="0.3">
      <c r="A371" s="2" t="s">
        <v>379</v>
      </c>
      <c r="B371" s="1" t="s">
        <v>695</v>
      </c>
      <c r="C371" s="6" t="str">
        <f t="shared" si="5"/>
        <v>October</v>
      </c>
      <c r="D371" s="1" t="s">
        <v>787</v>
      </c>
      <c r="E371" s="1" t="s">
        <v>790</v>
      </c>
      <c r="F371" s="1" t="s">
        <v>795</v>
      </c>
      <c r="G371" s="1" t="s">
        <v>798</v>
      </c>
      <c r="H371" s="1" t="s">
        <v>805</v>
      </c>
      <c r="I371" s="10" t="s">
        <v>811</v>
      </c>
      <c r="J371" s="1" t="s">
        <v>817</v>
      </c>
      <c r="K371" s="24">
        <v>39</v>
      </c>
      <c r="L371" s="25">
        <v>2</v>
      </c>
      <c r="M371" s="16">
        <v>3354</v>
      </c>
      <c r="N371" s="16">
        <v>7982.52</v>
      </c>
      <c r="O371" s="15">
        <v>1274.5200000000004</v>
      </c>
    </row>
    <row r="372" spans="1:15" x14ac:dyDescent="0.3">
      <c r="A372" s="2" t="s">
        <v>380</v>
      </c>
      <c r="B372" s="1" t="s">
        <v>740</v>
      </c>
      <c r="C372" s="6" t="str">
        <f t="shared" si="5"/>
        <v>September</v>
      </c>
      <c r="D372" s="1" t="s">
        <v>789</v>
      </c>
      <c r="E372" s="1" t="s">
        <v>791</v>
      </c>
      <c r="F372" s="1" t="s">
        <v>794</v>
      </c>
      <c r="G372" s="1" t="s">
        <v>797</v>
      </c>
      <c r="H372" s="1" t="s">
        <v>808</v>
      </c>
      <c r="I372" s="10" t="s">
        <v>813</v>
      </c>
      <c r="J372" s="1" t="s">
        <v>816</v>
      </c>
      <c r="K372" s="24">
        <v>17</v>
      </c>
      <c r="L372" s="25">
        <v>10</v>
      </c>
      <c r="M372" s="16">
        <v>704</v>
      </c>
      <c r="N372" s="16">
        <v>8096</v>
      </c>
      <c r="O372" s="15">
        <v>1056</v>
      </c>
    </row>
    <row r="373" spans="1:15" x14ac:dyDescent="0.3">
      <c r="A373" s="2" t="s">
        <v>381</v>
      </c>
      <c r="B373" s="1" t="s">
        <v>741</v>
      </c>
      <c r="C373" s="6" t="str">
        <f t="shared" si="5"/>
        <v>December</v>
      </c>
      <c r="D373" s="1" t="s">
        <v>786</v>
      </c>
      <c r="E373" s="1" t="s">
        <v>790</v>
      </c>
      <c r="F373" s="1" t="s">
        <v>795</v>
      </c>
      <c r="G373" s="1" t="s">
        <v>798</v>
      </c>
      <c r="H373" s="1" t="s">
        <v>805</v>
      </c>
      <c r="I373" s="10" t="s">
        <v>811</v>
      </c>
      <c r="J373" s="1" t="s">
        <v>817</v>
      </c>
      <c r="K373" s="24">
        <v>27</v>
      </c>
      <c r="L373" s="25">
        <v>9</v>
      </c>
      <c r="M373" s="16">
        <v>1300</v>
      </c>
      <c r="N373" s="16">
        <v>13923</v>
      </c>
      <c r="O373" s="15">
        <v>2223</v>
      </c>
    </row>
    <row r="374" spans="1:15" x14ac:dyDescent="0.3">
      <c r="A374" s="2" t="s">
        <v>382</v>
      </c>
      <c r="B374" s="1" t="s">
        <v>680</v>
      </c>
      <c r="C374" s="6" t="str">
        <f t="shared" si="5"/>
        <v>April</v>
      </c>
      <c r="D374" s="1" t="s">
        <v>787</v>
      </c>
      <c r="E374" s="1" t="s">
        <v>792</v>
      </c>
      <c r="F374" s="1" t="s">
        <v>795</v>
      </c>
      <c r="G374" s="1" t="s">
        <v>803</v>
      </c>
      <c r="H374" s="1" t="s">
        <v>807</v>
      </c>
      <c r="I374" s="10" t="s">
        <v>811</v>
      </c>
      <c r="J374" s="1" t="s">
        <v>819</v>
      </c>
      <c r="K374" s="24">
        <v>66</v>
      </c>
      <c r="L374" s="25">
        <v>18</v>
      </c>
      <c r="M374" s="16">
        <v>19670</v>
      </c>
      <c r="N374" s="16">
        <v>421331.4</v>
      </c>
      <c r="O374" s="15">
        <v>67271.400000000023</v>
      </c>
    </row>
    <row r="375" spans="1:15" x14ac:dyDescent="0.3">
      <c r="A375" s="2" t="s">
        <v>383</v>
      </c>
      <c r="B375" s="1" t="s">
        <v>742</v>
      </c>
      <c r="C375" s="6" t="str">
        <f t="shared" si="5"/>
        <v>October</v>
      </c>
      <c r="D375" s="1" t="s">
        <v>786</v>
      </c>
      <c r="E375" s="1" t="s">
        <v>790</v>
      </c>
      <c r="F375" s="1" t="s">
        <v>795</v>
      </c>
      <c r="G375" s="1" t="s">
        <v>803</v>
      </c>
      <c r="H375" s="1" t="s">
        <v>807</v>
      </c>
      <c r="I375" s="10" t="s">
        <v>811</v>
      </c>
      <c r="J375" s="1" t="s">
        <v>820</v>
      </c>
      <c r="K375" s="24">
        <v>36</v>
      </c>
      <c r="L375" s="25">
        <v>1</v>
      </c>
      <c r="M375" s="16">
        <v>20480</v>
      </c>
      <c r="N375" s="16">
        <v>24371.200000000001</v>
      </c>
      <c r="O375" s="15">
        <v>3891.2000000000007</v>
      </c>
    </row>
    <row r="376" spans="1:15" x14ac:dyDescent="0.3">
      <c r="A376" s="2" t="s">
        <v>384</v>
      </c>
      <c r="B376" s="1" t="s">
        <v>675</v>
      </c>
      <c r="C376" s="6" t="str">
        <f t="shared" si="5"/>
        <v>April</v>
      </c>
      <c r="D376" s="1" t="s">
        <v>789</v>
      </c>
      <c r="E376" s="1" t="s">
        <v>793</v>
      </c>
      <c r="F376" s="1" t="s">
        <v>794</v>
      </c>
      <c r="G376" s="1" t="s">
        <v>801</v>
      </c>
      <c r="H376" s="1" t="s">
        <v>806</v>
      </c>
      <c r="I376" s="10" t="s">
        <v>815</v>
      </c>
      <c r="J376" s="1" t="s">
        <v>819</v>
      </c>
      <c r="K376" s="24">
        <v>60</v>
      </c>
      <c r="L376" s="25">
        <v>17</v>
      </c>
      <c r="M376" s="16">
        <v>2813</v>
      </c>
      <c r="N376" s="16">
        <v>54994.15</v>
      </c>
      <c r="O376" s="15">
        <v>7173.1500000000015</v>
      </c>
    </row>
    <row r="377" spans="1:15" x14ac:dyDescent="0.3">
      <c r="A377" s="2" t="s">
        <v>385</v>
      </c>
      <c r="B377" s="1" t="s">
        <v>743</v>
      </c>
      <c r="C377" s="6" t="str">
        <f t="shared" si="5"/>
        <v>January</v>
      </c>
      <c r="D377" s="1" t="s">
        <v>784</v>
      </c>
      <c r="E377" s="1" t="s">
        <v>790</v>
      </c>
      <c r="F377" s="1" t="s">
        <v>795</v>
      </c>
      <c r="G377" s="1" t="s">
        <v>798</v>
      </c>
      <c r="H377" s="1" t="s">
        <v>805</v>
      </c>
      <c r="I377" s="10" t="s">
        <v>811</v>
      </c>
      <c r="J377" s="1" t="s">
        <v>820</v>
      </c>
      <c r="K377" s="24">
        <v>0</v>
      </c>
      <c r="L377" s="25">
        <v>12</v>
      </c>
      <c r="M377" s="16">
        <v>1550</v>
      </c>
      <c r="N377" s="16">
        <v>22134</v>
      </c>
      <c r="O377" s="15">
        <v>3534</v>
      </c>
    </row>
    <row r="378" spans="1:15" x14ac:dyDescent="0.3">
      <c r="A378" s="2" t="s">
        <v>386</v>
      </c>
      <c r="B378" s="1" t="s">
        <v>744</v>
      </c>
      <c r="C378" s="6" t="str">
        <f t="shared" si="5"/>
        <v>February</v>
      </c>
      <c r="D378" s="1" t="s">
        <v>784</v>
      </c>
      <c r="E378" s="1" t="s">
        <v>791</v>
      </c>
      <c r="F378" s="1" t="s">
        <v>794</v>
      </c>
      <c r="G378" s="1" t="s">
        <v>801</v>
      </c>
      <c r="H378" s="1" t="s">
        <v>806</v>
      </c>
      <c r="I378" s="10" t="s">
        <v>815</v>
      </c>
      <c r="J378" s="1" t="s">
        <v>816</v>
      </c>
      <c r="K378" s="24">
        <v>97</v>
      </c>
      <c r="L378" s="25">
        <v>8</v>
      </c>
      <c r="M378" s="16">
        <v>3129</v>
      </c>
      <c r="N378" s="16">
        <v>28786.799999999999</v>
      </c>
      <c r="O378" s="15">
        <v>3754.7999999999993</v>
      </c>
    </row>
    <row r="379" spans="1:15" x14ac:dyDescent="0.3">
      <c r="A379" s="2" t="s">
        <v>387</v>
      </c>
      <c r="B379" s="1" t="s">
        <v>643</v>
      </c>
      <c r="C379" s="6" t="str">
        <f t="shared" si="5"/>
        <v>October</v>
      </c>
      <c r="D379" s="1" t="s">
        <v>789</v>
      </c>
      <c r="E379" s="1" t="s">
        <v>793</v>
      </c>
      <c r="F379" s="1" t="s">
        <v>796</v>
      </c>
      <c r="G379" s="1" t="s">
        <v>800</v>
      </c>
      <c r="H379" s="1" t="s">
        <v>810</v>
      </c>
      <c r="I379" s="10" t="s">
        <v>812</v>
      </c>
      <c r="J379" s="1" t="s">
        <v>816</v>
      </c>
      <c r="K379" s="24">
        <v>87</v>
      </c>
      <c r="L379" s="25">
        <v>6</v>
      </c>
      <c r="M379" s="16">
        <v>138730</v>
      </c>
      <c r="N379" s="16">
        <v>1015503.6</v>
      </c>
      <c r="O379" s="15">
        <v>183123.59999999998</v>
      </c>
    </row>
    <row r="380" spans="1:15" x14ac:dyDescent="0.3">
      <c r="A380" s="2" t="s">
        <v>388</v>
      </c>
      <c r="B380" s="1" t="s">
        <v>622</v>
      </c>
      <c r="C380" s="6" t="str">
        <f t="shared" si="5"/>
        <v>May</v>
      </c>
      <c r="D380" s="1" t="s">
        <v>786</v>
      </c>
      <c r="E380" s="1" t="s">
        <v>790</v>
      </c>
      <c r="F380" s="1" t="s">
        <v>795</v>
      </c>
      <c r="G380" s="1" t="s">
        <v>798</v>
      </c>
      <c r="H380" s="1" t="s">
        <v>805</v>
      </c>
      <c r="I380" s="10" t="s">
        <v>811</v>
      </c>
      <c r="J380" s="1" t="s">
        <v>819</v>
      </c>
      <c r="K380" s="24">
        <v>42</v>
      </c>
      <c r="L380" s="25">
        <v>17</v>
      </c>
      <c r="M380" s="16">
        <v>1723</v>
      </c>
      <c r="N380" s="16">
        <v>34856.29</v>
      </c>
      <c r="O380" s="15">
        <v>5565.2900000000009</v>
      </c>
    </row>
    <row r="381" spans="1:15" x14ac:dyDescent="0.3">
      <c r="A381" s="2" t="s">
        <v>389</v>
      </c>
      <c r="B381" s="1" t="s">
        <v>700</v>
      </c>
      <c r="C381" s="6" t="str">
        <f t="shared" si="5"/>
        <v>July</v>
      </c>
      <c r="D381" s="1" t="s">
        <v>785</v>
      </c>
      <c r="E381" s="1" t="s">
        <v>790</v>
      </c>
      <c r="F381" s="1" t="s">
        <v>795</v>
      </c>
      <c r="G381" s="1" t="s">
        <v>798</v>
      </c>
      <c r="H381" s="1" t="s">
        <v>805</v>
      </c>
      <c r="I381" s="10" t="s">
        <v>811</v>
      </c>
      <c r="J381" s="1" t="s">
        <v>817</v>
      </c>
      <c r="K381" s="24">
        <v>94</v>
      </c>
      <c r="L381" s="25">
        <v>12</v>
      </c>
      <c r="M381" s="16">
        <v>2707</v>
      </c>
      <c r="N381" s="16">
        <v>38655.96</v>
      </c>
      <c r="O381" s="15">
        <v>6171.9599999999991</v>
      </c>
    </row>
    <row r="382" spans="1:15" x14ac:dyDescent="0.3">
      <c r="A382" s="2" t="s">
        <v>390</v>
      </c>
      <c r="B382" s="1" t="s">
        <v>745</v>
      </c>
      <c r="C382" s="6" t="str">
        <f t="shared" si="5"/>
        <v>January</v>
      </c>
      <c r="D382" s="1" t="s">
        <v>785</v>
      </c>
      <c r="E382" s="1" t="s">
        <v>792</v>
      </c>
      <c r="F382" s="1" t="s">
        <v>796</v>
      </c>
      <c r="G382" s="1" t="s">
        <v>802</v>
      </c>
      <c r="H382" s="1" t="s">
        <v>809</v>
      </c>
      <c r="I382" s="10" t="s">
        <v>814</v>
      </c>
      <c r="J382" s="1" t="s">
        <v>819</v>
      </c>
      <c r="K382" s="24">
        <v>38</v>
      </c>
      <c r="L382" s="25">
        <v>8</v>
      </c>
      <c r="M382" s="16">
        <v>124100</v>
      </c>
      <c r="N382" s="16">
        <v>1211216</v>
      </c>
      <c r="O382" s="15">
        <v>218416</v>
      </c>
    </row>
    <row r="383" spans="1:15" x14ac:dyDescent="0.3">
      <c r="A383" s="2" t="s">
        <v>391</v>
      </c>
      <c r="B383" s="1" t="s">
        <v>746</v>
      </c>
      <c r="C383" s="6" t="str">
        <f t="shared" si="5"/>
        <v>June</v>
      </c>
      <c r="D383" s="1" t="s">
        <v>785</v>
      </c>
      <c r="E383" s="1" t="s">
        <v>790</v>
      </c>
      <c r="F383" s="1" t="s">
        <v>796</v>
      </c>
      <c r="G383" s="1" t="s">
        <v>800</v>
      </c>
      <c r="H383" s="1" t="s">
        <v>810</v>
      </c>
      <c r="I383" s="10" t="s">
        <v>814</v>
      </c>
      <c r="J383" s="1" t="s">
        <v>820</v>
      </c>
      <c r="K383" s="24">
        <v>35</v>
      </c>
      <c r="L383" s="25">
        <v>17</v>
      </c>
      <c r="M383" s="16">
        <v>145690</v>
      </c>
      <c r="N383" s="16">
        <v>3021610.6</v>
      </c>
      <c r="O383" s="15">
        <v>544880.60000000009</v>
      </c>
    </row>
    <row r="384" spans="1:15" x14ac:dyDescent="0.3">
      <c r="A384" s="2" t="s">
        <v>392</v>
      </c>
      <c r="B384" s="1" t="s">
        <v>747</v>
      </c>
      <c r="C384" s="6" t="str">
        <f t="shared" si="5"/>
        <v>February</v>
      </c>
      <c r="D384" s="1" t="s">
        <v>785</v>
      </c>
      <c r="E384" s="1" t="s">
        <v>792</v>
      </c>
      <c r="F384" s="1" t="s">
        <v>795</v>
      </c>
      <c r="G384" s="1" t="s">
        <v>798</v>
      </c>
      <c r="H384" s="1" t="s">
        <v>805</v>
      </c>
      <c r="I384" s="10" t="s">
        <v>811</v>
      </c>
      <c r="J384" s="1" t="s">
        <v>817</v>
      </c>
      <c r="K384" s="24">
        <v>13</v>
      </c>
      <c r="L384" s="25">
        <v>13</v>
      </c>
      <c r="M384" s="16">
        <v>3600</v>
      </c>
      <c r="N384" s="16">
        <v>55692</v>
      </c>
      <c r="O384" s="15">
        <v>8892</v>
      </c>
    </row>
    <row r="385" spans="1:15" x14ac:dyDescent="0.3">
      <c r="A385" s="2" t="s">
        <v>393</v>
      </c>
      <c r="B385" s="1" t="s">
        <v>748</v>
      </c>
      <c r="C385" s="6" t="str">
        <f t="shared" si="5"/>
        <v>April</v>
      </c>
      <c r="D385" s="1" t="s">
        <v>786</v>
      </c>
      <c r="E385" s="1" t="s">
        <v>793</v>
      </c>
      <c r="F385" s="1" t="s">
        <v>794</v>
      </c>
      <c r="G385" s="1" t="s">
        <v>797</v>
      </c>
      <c r="H385" s="1" t="s">
        <v>808</v>
      </c>
      <c r="I385" s="10" t="s">
        <v>813</v>
      </c>
      <c r="J385" s="1" t="s">
        <v>816</v>
      </c>
      <c r="K385" s="24">
        <v>1</v>
      </c>
      <c r="L385" s="25">
        <v>9</v>
      </c>
      <c r="M385" s="16">
        <v>3965</v>
      </c>
      <c r="N385" s="16">
        <v>41037.75</v>
      </c>
      <c r="O385" s="15">
        <v>5352.75</v>
      </c>
    </row>
    <row r="386" spans="1:15" x14ac:dyDescent="0.3">
      <c r="A386" s="2" t="s">
        <v>394</v>
      </c>
      <c r="B386" s="1" t="s">
        <v>614</v>
      </c>
      <c r="C386" s="6" t="str">
        <f t="shared" si="5"/>
        <v>July</v>
      </c>
      <c r="D386" s="1" t="s">
        <v>789</v>
      </c>
      <c r="E386" s="1" t="s">
        <v>792</v>
      </c>
      <c r="F386" s="1" t="s">
        <v>795</v>
      </c>
      <c r="G386" s="1" t="s">
        <v>798</v>
      </c>
      <c r="H386" s="1" t="s">
        <v>805</v>
      </c>
      <c r="I386" s="10" t="s">
        <v>811</v>
      </c>
      <c r="J386" s="1" t="s">
        <v>817</v>
      </c>
      <c r="K386" s="24">
        <v>63</v>
      </c>
      <c r="L386" s="25">
        <v>19</v>
      </c>
      <c r="M386" s="16">
        <v>4485</v>
      </c>
      <c r="N386" s="16">
        <v>101405.85</v>
      </c>
      <c r="O386" s="15">
        <v>16190.850000000006</v>
      </c>
    </row>
    <row r="387" spans="1:15" x14ac:dyDescent="0.3">
      <c r="A387" s="2" t="s">
        <v>395</v>
      </c>
      <c r="B387" s="1" t="s">
        <v>704</v>
      </c>
      <c r="C387" s="6" t="str">
        <f t="shared" ref="C387:C450" si="6">TEXT(B387, "mmmm")</f>
        <v>October</v>
      </c>
      <c r="D387" s="1" t="s">
        <v>784</v>
      </c>
      <c r="E387" s="1" t="s">
        <v>791</v>
      </c>
      <c r="F387" s="1" t="s">
        <v>794</v>
      </c>
      <c r="G387" s="1" t="s">
        <v>801</v>
      </c>
      <c r="H387" s="1" t="s">
        <v>806</v>
      </c>
      <c r="I387" s="10" t="s">
        <v>815</v>
      </c>
      <c r="J387" s="1" t="s">
        <v>820</v>
      </c>
      <c r="K387" s="24">
        <v>10</v>
      </c>
      <c r="L387" s="25">
        <v>17</v>
      </c>
      <c r="M387" s="16">
        <v>1146</v>
      </c>
      <c r="N387" s="16">
        <v>22404.3</v>
      </c>
      <c r="O387" s="15">
        <v>2922.2999999999993</v>
      </c>
    </row>
    <row r="388" spans="1:15" x14ac:dyDescent="0.3">
      <c r="A388" s="2" t="s">
        <v>396</v>
      </c>
      <c r="B388" s="1" t="s">
        <v>514</v>
      </c>
      <c r="C388" s="6" t="str">
        <f t="shared" si="6"/>
        <v>September</v>
      </c>
      <c r="D388" s="1" t="s">
        <v>788</v>
      </c>
      <c r="E388" s="1" t="s">
        <v>792</v>
      </c>
      <c r="F388" s="1" t="s">
        <v>796</v>
      </c>
      <c r="G388" s="1" t="s">
        <v>800</v>
      </c>
      <c r="H388" s="1" t="s">
        <v>810</v>
      </c>
      <c r="I388" s="10" t="s">
        <v>814</v>
      </c>
      <c r="J388" s="1" t="s">
        <v>820</v>
      </c>
      <c r="K388" s="24">
        <v>83</v>
      </c>
      <c r="L388" s="25">
        <v>1</v>
      </c>
      <c r="M388" s="16">
        <v>148500</v>
      </c>
      <c r="N388" s="16">
        <v>181170</v>
      </c>
      <c r="O388" s="15">
        <v>32670</v>
      </c>
    </row>
    <row r="389" spans="1:15" x14ac:dyDescent="0.3">
      <c r="A389" s="2" t="s">
        <v>397</v>
      </c>
      <c r="B389" s="1" t="s">
        <v>679</v>
      </c>
      <c r="C389" s="6" t="str">
        <f t="shared" si="6"/>
        <v>February</v>
      </c>
      <c r="D389" s="1" t="s">
        <v>788</v>
      </c>
      <c r="E389" s="1" t="s">
        <v>791</v>
      </c>
      <c r="F389" s="1" t="s">
        <v>795</v>
      </c>
      <c r="G389" s="1" t="s">
        <v>803</v>
      </c>
      <c r="H389" s="1" t="s">
        <v>807</v>
      </c>
      <c r="I389" s="10" t="s">
        <v>811</v>
      </c>
      <c r="J389" s="1" t="s">
        <v>819</v>
      </c>
      <c r="K389" s="24">
        <v>45</v>
      </c>
      <c r="L389" s="25">
        <v>15</v>
      </c>
      <c r="M389" s="16">
        <v>12380</v>
      </c>
      <c r="N389" s="16">
        <v>220983</v>
      </c>
      <c r="O389" s="15">
        <v>35283</v>
      </c>
    </row>
    <row r="390" spans="1:15" x14ac:dyDescent="0.3">
      <c r="A390" s="2" t="s">
        <v>398</v>
      </c>
      <c r="B390" s="1" t="s">
        <v>665</v>
      </c>
      <c r="C390" s="6" t="str">
        <f t="shared" si="6"/>
        <v>December</v>
      </c>
      <c r="D390" s="1" t="s">
        <v>789</v>
      </c>
      <c r="E390" s="1" t="s">
        <v>792</v>
      </c>
      <c r="F390" s="1" t="s">
        <v>796</v>
      </c>
      <c r="G390" s="1" t="s">
        <v>800</v>
      </c>
      <c r="H390" s="1" t="s">
        <v>810</v>
      </c>
      <c r="I390" s="10" t="s">
        <v>814</v>
      </c>
      <c r="J390" s="1" t="s">
        <v>818</v>
      </c>
      <c r="K390" s="24">
        <v>3</v>
      </c>
      <c r="L390" s="25">
        <v>16</v>
      </c>
      <c r="M390" s="16">
        <v>158400</v>
      </c>
      <c r="N390" s="16">
        <v>3091968</v>
      </c>
      <c r="O390" s="15">
        <v>557568</v>
      </c>
    </row>
    <row r="391" spans="1:15" x14ac:dyDescent="0.3">
      <c r="A391" s="2" t="s">
        <v>399</v>
      </c>
      <c r="B391" s="1" t="s">
        <v>598</v>
      </c>
      <c r="C391" s="6" t="str">
        <f t="shared" si="6"/>
        <v>December</v>
      </c>
      <c r="D391" s="1" t="s">
        <v>788</v>
      </c>
      <c r="E391" s="1" t="s">
        <v>793</v>
      </c>
      <c r="F391" s="1" t="s">
        <v>795</v>
      </c>
      <c r="G391" s="1" t="s">
        <v>803</v>
      </c>
      <c r="H391" s="1" t="s">
        <v>807</v>
      </c>
      <c r="I391" s="10" t="s">
        <v>811</v>
      </c>
      <c r="J391" s="1" t="s">
        <v>816</v>
      </c>
      <c r="K391" s="24">
        <v>93</v>
      </c>
      <c r="L391" s="25">
        <v>19</v>
      </c>
      <c r="M391" s="16">
        <v>34110</v>
      </c>
      <c r="N391" s="16">
        <v>771227.1</v>
      </c>
      <c r="O391" s="15">
        <v>123137.09999999998</v>
      </c>
    </row>
    <row r="392" spans="1:15" x14ac:dyDescent="0.3">
      <c r="A392" s="2" t="s">
        <v>400</v>
      </c>
      <c r="B392" s="1" t="s">
        <v>552</v>
      </c>
      <c r="C392" s="6" t="str">
        <f t="shared" si="6"/>
        <v>October</v>
      </c>
      <c r="D392" s="1" t="s">
        <v>784</v>
      </c>
      <c r="E392" s="1" t="s">
        <v>792</v>
      </c>
      <c r="F392" s="1" t="s">
        <v>795</v>
      </c>
      <c r="G392" s="1" t="s">
        <v>798</v>
      </c>
      <c r="H392" s="1" t="s">
        <v>805</v>
      </c>
      <c r="I392" s="10" t="s">
        <v>811</v>
      </c>
      <c r="J392" s="1" t="s">
        <v>819</v>
      </c>
      <c r="K392" s="24">
        <v>56</v>
      </c>
      <c r="L392" s="25">
        <v>13</v>
      </c>
      <c r="M392" s="16">
        <v>3840</v>
      </c>
      <c r="N392" s="16">
        <v>59404.800000000003</v>
      </c>
      <c r="O392" s="15">
        <v>9484.8000000000029</v>
      </c>
    </row>
    <row r="393" spans="1:15" x14ac:dyDescent="0.3">
      <c r="A393" s="2" t="s">
        <v>401</v>
      </c>
      <c r="B393" s="1" t="s">
        <v>723</v>
      </c>
      <c r="C393" s="6" t="str">
        <f t="shared" si="6"/>
        <v>September</v>
      </c>
      <c r="D393" s="1" t="s">
        <v>789</v>
      </c>
      <c r="E393" s="1" t="s">
        <v>790</v>
      </c>
      <c r="F393" s="1" t="s">
        <v>794</v>
      </c>
      <c r="G393" s="1" t="s">
        <v>801</v>
      </c>
      <c r="H393" s="1" t="s">
        <v>806</v>
      </c>
      <c r="I393" s="10" t="s">
        <v>815</v>
      </c>
      <c r="J393" s="1" t="s">
        <v>817</v>
      </c>
      <c r="K393" s="24">
        <v>69</v>
      </c>
      <c r="L393" s="25">
        <v>20</v>
      </c>
      <c r="M393" s="16">
        <v>637</v>
      </c>
      <c r="N393" s="16">
        <v>14651</v>
      </c>
      <c r="O393" s="15">
        <v>1911</v>
      </c>
    </row>
    <row r="394" spans="1:15" x14ac:dyDescent="0.3">
      <c r="A394" s="2" t="s">
        <v>402</v>
      </c>
      <c r="B394" s="1" t="s">
        <v>545</v>
      </c>
      <c r="C394" s="6" t="str">
        <f t="shared" si="6"/>
        <v>September</v>
      </c>
      <c r="D394" s="1" t="s">
        <v>788</v>
      </c>
      <c r="E394" s="1" t="s">
        <v>790</v>
      </c>
      <c r="F394" s="1" t="s">
        <v>796</v>
      </c>
      <c r="G394" s="1" t="s">
        <v>799</v>
      </c>
      <c r="H394" s="1" t="s">
        <v>804</v>
      </c>
      <c r="I394" s="10" t="s">
        <v>812</v>
      </c>
      <c r="J394" s="1" t="s">
        <v>820</v>
      </c>
      <c r="K394" s="24">
        <v>24</v>
      </c>
      <c r="L394" s="25">
        <v>1</v>
      </c>
      <c r="M394" s="16">
        <v>300300</v>
      </c>
      <c r="N394" s="16">
        <v>366366</v>
      </c>
      <c r="O394" s="15">
        <v>66066</v>
      </c>
    </row>
    <row r="395" spans="1:15" x14ac:dyDescent="0.3">
      <c r="A395" s="2" t="s">
        <v>403</v>
      </c>
      <c r="B395" s="1" t="s">
        <v>592</v>
      </c>
      <c r="C395" s="6" t="str">
        <f t="shared" si="6"/>
        <v>October</v>
      </c>
      <c r="D395" s="1" t="s">
        <v>784</v>
      </c>
      <c r="E395" s="1" t="s">
        <v>790</v>
      </c>
      <c r="F395" s="1" t="s">
        <v>796</v>
      </c>
      <c r="G395" s="1" t="s">
        <v>799</v>
      </c>
      <c r="H395" s="1" t="s">
        <v>804</v>
      </c>
      <c r="I395" s="10" t="s">
        <v>814</v>
      </c>
      <c r="J395" s="1" t="s">
        <v>817</v>
      </c>
      <c r="K395" s="24">
        <v>48</v>
      </c>
      <c r="L395" s="25">
        <v>6</v>
      </c>
      <c r="M395" s="16">
        <v>55510</v>
      </c>
      <c r="N395" s="16">
        <v>406333.2</v>
      </c>
      <c r="O395" s="15">
        <v>73273.200000000012</v>
      </c>
    </row>
    <row r="396" spans="1:15" x14ac:dyDescent="0.3">
      <c r="A396" s="2" t="s">
        <v>404</v>
      </c>
      <c r="B396" s="1" t="s">
        <v>749</v>
      </c>
      <c r="C396" s="6" t="str">
        <f t="shared" si="6"/>
        <v>August</v>
      </c>
      <c r="D396" s="1" t="s">
        <v>786</v>
      </c>
      <c r="E396" s="1" t="s">
        <v>790</v>
      </c>
      <c r="F396" s="1" t="s">
        <v>794</v>
      </c>
      <c r="G396" s="1" t="s">
        <v>797</v>
      </c>
      <c r="H396" s="1" t="s">
        <v>808</v>
      </c>
      <c r="I396" s="10" t="s">
        <v>813</v>
      </c>
      <c r="J396" s="1" t="s">
        <v>816</v>
      </c>
      <c r="K396" s="24">
        <v>62</v>
      </c>
      <c r="L396" s="25">
        <v>4</v>
      </c>
      <c r="M396" s="16">
        <v>2309</v>
      </c>
      <c r="N396" s="16">
        <v>10621.4</v>
      </c>
      <c r="O396" s="15">
        <v>1385.3999999999996</v>
      </c>
    </row>
    <row r="397" spans="1:15" x14ac:dyDescent="0.3">
      <c r="A397" s="2" t="s">
        <v>405</v>
      </c>
      <c r="B397" s="1" t="s">
        <v>659</v>
      </c>
      <c r="C397" s="6" t="str">
        <f t="shared" si="6"/>
        <v>June</v>
      </c>
      <c r="D397" s="1" t="s">
        <v>787</v>
      </c>
      <c r="E397" s="1" t="s">
        <v>791</v>
      </c>
      <c r="F397" s="1" t="s">
        <v>796</v>
      </c>
      <c r="G397" s="1" t="s">
        <v>800</v>
      </c>
      <c r="H397" s="1" t="s">
        <v>810</v>
      </c>
      <c r="I397" s="10" t="s">
        <v>814</v>
      </c>
      <c r="J397" s="1" t="s">
        <v>817</v>
      </c>
      <c r="K397" s="24">
        <v>4</v>
      </c>
      <c r="L397" s="25">
        <v>13</v>
      </c>
      <c r="M397" s="16">
        <v>98700</v>
      </c>
      <c r="N397" s="16">
        <v>1565382</v>
      </c>
      <c r="O397" s="15">
        <v>282282</v>
      </c>
    </row>
    <row r="398" spans="1:15" x14ac:dyDescent="0.3">
      <c r="A398" s="2" t="s">
        <v>406</v>
      </c>
      <c r="B398" s="1" t="s">
        <v>611</v>
      </c>
      <c r="C398" s="6" t="str">
        <f t="shared" si="6"/>
        <v>March</v>
      </c>
      <c r="D398" s="1" t="s">
        <v>787</v>
      </c>
      <c r="E398" s="1" t="s">
        <v>791</v>
      </c>
      <c r="F398" s="1" t="s">
        <v>796</v>
      </c>
      <c r="G398" s="1" t="s">
        <v>800</v>
      </c>
      <c r="H398" s="1" t="s">
        <v>810</v>
      </c>
      <c r="I398" s="10" t="s">
        <v>812</v>
      </c>
      <c r="J398" s="1" t="s">
        <v>818</v>
      </c>
      <c r="K398" s="24">
        <v>51</v>
      </c>
      <c r="L398" s="25">
        <v>16</v>
      </c>
      <c r="M398" s="16">
        <v>78900</v>
      </c>
      <c r="N398" s="16">
        <v>1540128</v>
      </c>
      <c r="O398" s="15">
        <v>277728</v>
      </c>
    </row>
    <row r="399" spans="1:15" x14ac:dyDescent="0.3">
      <c r="A399" s="2" t="s">
        <v>407</v>
      </c>
      <c r="B399" s="1" t="s">
        <v>675</v>
      </c>
      <c r="C399" s="6" t="str">
        <f t="shared" si="6"/>
        <v>April</v>
      </c>
      <c r="D399" s="1" t="s">
        <v>784</v>
      </c>
      <c r="E399" s="1" t="s">
        <v>792</v>
      </c>
      <c r="F399" s="1" t="s">
        <v>796</v>
      </c>
      <c r="G399" s="1" t="s">
        <v>800</v>
      </c>
      <c r="H399" s="1" t="s">
        <v>810</v>
      </c>
      <c r="I399" s="10" t="s">
        <v>814</v>
      </c>
      <c r="J399" s="1" t="s">
        <v>818</v>
      </c>
      <c r="K399" s="24">
        <v>53</v>
      </c>
      <c r="L399" s="25">
        <v>8</v>
      </c>
      <c r="M399" s="16">
        <v>138570</v>
      </c>
      <c r="N399" s="16">
        <v>1352443.2</v>
      </c>
      <c r="O399" s="15">
        <v>243883.19999999995</v>
      </c>
    </row>
    <row r="400" spans="1:15" x14ac:dyDescent="0.3">
      <c r="A400" s="2" t="s">
        <v>408</v>
      </c>
      <c r="B400" s="1" t="s">
        <v>696</v>
      </c>
      <c r="C400" s="6" t="str">
        <f t="shared" si="6"/>
        <v>April</v>
      </c>
      <c r="D400" s="1" t="s">
        <v>788</v>
      </c>
      <c r="E400" s="1" t="s">
        <v>791</v>
      </c>
      <c r="F400" s="1" t="s">
        <v>796</v>
      </c>
      <c r="G400" s="1" t="s">
        <v>800</v>
      </c>
      <c r="H400" s="1" t="s">
        <v>810</v>
      </c>
      <c r="I400" s="10" t="s">
        <v>814</v>
      </c>
      <c r="J400" s="1" t="s">
        <v>819</v>
      </c>
      <c r="K400" s="24">
        <v>10</v>
      </c>
      <c r="L400" s="25">
        <v>20</v>
      </c>
      <c r="M400" s="16">
        <v>145200</v>
      </c>
      <c r="N400" s="16">
        <v>3542880</v>
      </c>
      <c r="O400" s="15">
        <v>638880</v>
      </c>
    </row>
    <row r="401" spans="1:15" x14ac:dyDescent="0.3">
      <c r="A401" s="2" t="s">
        <v>409</v>
      </c>
      <c r="B401" s="1" t="s">
        <v>546</v>
      </c>
      <c r="C401" s="6" t="str">
        <f t="shared" si="6"/>
        <v>January</v>
      </c>
      <c r="D401" s="1" t="s">
        <v>785</v>
      </c>
      <c r="E401" s="1" t="s">
        <v>790</v>
      </c>
      <c r="F401" s="1" t="s">
        <v>796</v>
      </c>
      <c r="G401" s="1" t="s">
        <v>802</v>
      </c>
      <c r="H401" s="1" t="s">
        <v>809</v>
      </c>
      <c r="I401" s="10" t="s">
        <v>812</v>
      </c>
      <c r="J401" s="1" t="s">
        <v>817</v>
      </c>
      <c r="K401" s="24">
        <v>66</v>
      </c>
      <c r="L401" s="25">
        <v>6</v>
      </c>
      <c r="M401" s="16">
        <v>41300</v>
      </c>
      <c r="N401" s="16">
        <v>302316</v>
      </c>
      <c r="O401" s="15">
        <v>54516</v>
      </c>
    </row>
    <row r="402" spans="1:15" x14ac:dyDescent="0.3">
      <c r="A402" s="2" t="s">
        <v>410</v>
      </c>
      <c r="B402" s="1" t="s">
        <v>742</v>
      </c>
      <c r="C402" s="6" t="str">
        <f t="shared" si="6"/>
        <v>October</v>
      </c>
      <c r="D402" s="1" t="s">
        <v>789</v>
      </c>
      <c r="E402" s="1" t="s">
        <v>790</v>
      </c>
      <c r="F402" s="1" t="s">
        <v>795</v>
      </c>
      <c r="G402" s="1" t="s">
        <v>798</v>
      </c>
      <c r="H402" s="1" t="s">
        <v>805</v>
      </c>
      <c r="I402" s="10" t="s">
        <v>811</v>
      </c>
      <c r="J402" s="1" t="s">
        <v>818</v>
      </c>
      <c r="K402" s="24">
        <v>40</v>
      </c>
      <c r="L402" s="25">
        <v>18</v>
      </c>
      <c r="M402" s="16">
        <v>1893</v>
      </c>
      <c r="N402" s="16">
        <v>40548.06</v>
      </c>
      <c r="O402" s="15">
        <v>6474.0599999999977</v>
      </c>
    </row>
    <row r="403" spans="1:15" x14ac:dyDescent="0.3">
      <c r="A403" s="2" t="s">
        <v>411</v>
      </c>
      <c r="B403" s="1" t="s">
        <v>554</v>
      </c>
      <c r="C403" s="6" t="str">
        <f t="shared" si="6"/>
        <v>August</v>
      </c>
      <c r="D403" s="1" t="s">
        <v>784</v>
      </c>
      <c r="E403" s="1" t="s">
        <v>792</v>
      </c>
      <c r="F403" s="1" t="s">
        <v>796</v>
      </c>
      <c r="G403" s="1" t="s">
        <v>800</v>
      </c>
      <c r="H403" s="1" t="s">
        <v>810</v>
      </c>
      <c r="I403" s="10" t="s">
        <v>812</v>
      </c>
      <c r="J403" s="1" t="s">
        <v>818</v>
      </c>
      <c r="K403" s="24">
        <v>80</v>
      </c>
      <c r="L403" s="25">
        <v>6</v>
      </c>
      <c r="M403" s="16">
        <v>87900</v>
      </c>
      <c r="N403" s="16">
        <v>643428</v>
      </c>
      <c r="O403" s="15">
        <v>116028</v>
      </c>
    </row>
    <row r="404" spans="1:15" x14ac:dyDescent="0.3">
      <c r="A404" s="2" t="s">
        <v>412</v>
      </c>
      <c r="B404" s="1" t="s">
        <v>750</v>
      </c>
      <c r="C404" s="6" t="str">
        <f t="shared" si="6"/>
        <v>August</v>
      </c>
      <c r="D404" s="1" t="s">
        <v>786</v>
      </c>
      <c r="E404" s="1" t="s">
        <v>793</v>
      </c>
      <c r="F404" s="1" t="s">
        <v>796</v>
      </c>
      <c r="G404" s="1" t="s">
        <v>802</v>
      </c>
      <c r="H404" s="1" t="s">
        <v>809</v>
      </c>
      <c r="I404" s="10" t="s">
        <v>812</v>
      </c>
      <c r="J404" s="1" t="s">
        <v>816</v>
      </c>
      <c r="K404" s="24">
        <v>100</v>
      </c>
      <c r="L404" s="25">
        <v>19</v>
      </c>
      <c r="M404" s="16">
        <v>44590</v>
      </c>
      <c r="N404" s="16">
        <v>1033596.2</v>
      </c>
      <c r="O404" s="15">
        <v>186386.19999999995</v>
      </c>
    </row>
    <row r="405" spans="1:15" x14ac:dyDescent="0.3">
      <c r="A405" s="2" t="s">
        <v>413</v>
      </c>
      <c r="B405" s="1" t="s">
        <v>751</v>
      </c>
      <c r="C405" s="6" t="str">
        <f t="shared" si="6"/>
        <v>February</v>
      </c>
      <c r="D405" s="1" t="s">
        <v>789</v>
      </c>
      <c r="E405" s="1" t="s">
        <v>792</v>
      </c>
      <c r="F405" s="1" t="s">
        <v>794</v>
      </c>
      <c r="G405" s="1" t="s">
        <v>801</v>
      </c>
      <c r="H405" s="1" t="s">
        <v>806</v>
      </c>
      <c r="I405" s="10" t="s">
        <v>813</v>
      </c>
      <c r="J405" s="1" t="s">
        <v>816</v>
      </c>
      <c r="K405" s="24">
        <v>66</v>
      </c>
      <c r="L405" s="25">
        <v>19</v>
      </c>
      <c r="M405" s="16">
        <v>3883</v>
      </c>
      <c r="N405" s="16">
        <v>84843.55</v>
      </c>
      <c r="O405" s="15">
        <v>11066.550000000003</v>
      </c>
    </row>
    <row r="406" spans="1:15" x14ac:dyDescent="0.3">
      <c r="A406" s="2" t="s">
        <v>414</v>
      </c>
      <c r="B406" s="1" t="s">
        <v>752</v>
      </c>
      <c r="C406" s="6" t="str">
        <f t="shared" si="6"/>
        <v>March</v>
      </c>
      <c r="D406" s="1" t="s">
        <v>784</v>
      </c>
      <c r="E406" s="1" t="s">
        <v>793</v>
      </c>
      <c r="F406" s="1" t="s">
        <v>796</v>
      </c>
      <c r="G406" s="1" t="s">
        <v>799</v>
      </c>
      <c r="H406" s="1" t="s">
        <v>804</v>
      </c>
      <c r="I406" s="10" t="s">
        <v>814</v>
      </c>
      <c r="J406" s="1" t="s">
        <v>818</v>
      </c>
      <c r="K406" s="24">
        <v>37</v>
      </c>
      <c r="L406" s="25">
        <v>13</v>
      </c>
      <c r="M406" s="16">
        <v>45600</v>
      </c>
      <c r="N406" s="16">
        <v>723216</v>
      </c>
      <c r="O406" s="15">
        <v>130416</v>
      </c>
    </row>
    <row r="407" spans="1:15" x14ac:dyDescent="0.3">
      <c r="A407" s="2" t="s">
        <v>415</v>
      </c>
      <c r="B407" s="1" t="s">
        <v>664</v>
      </c>
      <c r="C407" s="6" t="str">
        <f t="shared" si="6"/>
        <v>July</v>
      </c>
      <c r="D407" s="1" t="s">
        <v>787</v>
      </c>
      <c r="E407" s="1" t="s">
        <v>792</v>
      </c>
      <c r="F407" s="1" t="s">
        <v>795</v>
      </c>
      <c r="G407" s="1" t="s">
        <v>803</v>
      </c>
      <c r="H407" s="1" t="s">
        <v>807</v>
      </c>
      <c r="I407" s="10" t="s">
        <v>811</v>
      </c>
      <c r="J407" s="1" t="s">
        <v>820</v>
      </c>
      <c r="K407" s="24">
        <v>72</v>
      </c>
      <c r="L407" s="25">
        <v>11</v>
      </c>
      <c r="M407" s="16">
        <v>28170</v>
      </c>
      <c r="N407" s="16">
        <v>368745.3</v>
      </c>
      <c r="O407" s="15">
        <v>58875.299999999988</v>
      </c>
    </row>
    <row r="408" spans="1:15" x14ac:dyDescent="0.3">
      <c r="A408" s="2" t="s">
        <v>416</v>
      </c>
      <c r="B408" s="1" t="s">
        <v>591</v>
      </c>
      <c r="C408" s="6" t="str">
        <f t="shared" si="6"/>
        <v>December</v>
      </c>
      <c r="D408" s="1" t="s">
        <v>787</v>
      </c>
      <c r="E408" s="1" t="s">
        <v>792</v>
      </c>
      <c r="F408" s="1" t="s">
        <v>795</v>
      </c>
      <c r="G408" s="1" t="s">
        <v>803</v>
      </c>
      <c r="H408" s="1" t="s">
        <v>807</v>
      </c>
      <c r="I408" s="10" t="s">
        <v>811</v>
      </c>
      <c r="J408" s="1" t="s">
        <v>818</v>
      </c>
      <c r="K408" s="24">
        <v>99</v>
      </c>
      <c r="L408" s="25">
        <v>10</v>
      </c>
      <c r="M408" s="16">
        <v>28450</v>
      </c>
      <c r="N408" s="16">
        <v>338555</v>
      </c>
      <c r="O408" s="15">
        <v>54055</v>
      </c>
    </row>
    <row r="409" spans="1:15" x14ac:dyDescent="0.3">
      <c r="A409" s="2" t="s">
        <v>417</v>
      </c>
      <c r="B409" s="1" t="s">
        <v>649</v>
      </c>
      <c r="C409" s="6" t="str">
        <f t="shared" si="6"/>
        <v>October</v>
      </c>
      <c r="D409" s="1" t="s">
        <v>786</v>
      </c>
      <c r="E409" s="1" t="s">
        <v>792</v>
      </c>
      <c r="F409" s="1" t="s">
        <v>795</v>
      </c>
      <c r="G409" s="1" t="s">
        <v>803</v>
      </c>
      <c r="H409" s="1" t="s">
        <v>807</v>
      </c>
      <c r="I409" s="10" t="s">
        <v>811</v>
      </c>
      <c r="J409" s="1" t="s">
        <v>820</v>
      </c>
      <c r="K409" s="24">
        <v>49</v>
      </c>
      <c r="L409" s="25">
        <v>2</v>
      </c>
      <c r="M409" s="16">
        <v>75000</v>
      </c>
      <c r="N409" s="16">
        <v>178500</v>
      </c>
      <c r="O409" s="15">
        <v>28500</v>
      </c>
    </row>
    <row r="410" spans="1:15" x14ac:dyDescent="0.3">
      <c r="A410" s="2" t="s">
        <v>418</v>
      </c>
      <c r="B410" s="1" t="s">
        <v>738</v>
      </c>
      <c r="C410" s="6" t="str">
        <f t="shared" si="6"/>
        <v>December</v>
      </c>
      <c r="D410" s="1" t="s">
        <v>789</v>
      </c>
      <c r="E410" s="1" t="s">
        <v>791</v>
      </c>
      <c r="F410" s="1" t="s">
        <v>796</v>
      </c>
      <c r="G410" s="1" t="s">
        <v>799</v>
      </c>
      <c r="H410" s="1" t="s">
        <v>804</v>
      </c>
      <c r="I410" s="10" t="s">
        <v>814</v>
      </c>
      <c r="J410" s="1" t="s">
        <v>817</v>
      </c>
      <c r="K410" s="24">
        <v>73</v>
      </c>
      <c r="L410" s="25">
        <v>1</v>
      </c>
      <c r="M410" s="16">
        <v>256033</v>
      </c>
      <c r="N410" s="16">
        <v>312360.26</v>
      </c>
      <c r="O410" s="15">
        <v>56327.260000000009</v>
      </c>
    </row>
    <row r="411" spans="1:15" x14ac:dyDescent="0.3">
      <c r="A411" s="2" t="s">
        <v>419</v>
      </c>
      <c r="B411" s="1" t="s">
        <v>753</v>
      </c>
      <c r="C411" s="6" t="str">
        <f t="shared" si="6"/>
        <v>January</v>
      </c>
      <c r="D411" s="1" t="s">
        <v>788</v>
      </c>
      <c r="E411" s="1" t="s">
        <v>792</v>
      </c>
      <c r="F411" s="1" t="s">
        <v>796</v>
      </c>
      <c r="G411" s="1" t="s">
        <v>799</v>
      </c>
      <c r="H411" s="1" t="s">
        <v>804</v>
      </c>
      <c r="I411" s="10" t="s">
        <v>814</v>
      </c>
      <c r="J411" s="1" t="s">
        <v>818</v>
      </c>
      <c r="K411" s="24">
        <v>61</v>
      </c>
      <c r="L411" s="25">
        <v>5</v>
      </c>
      <c r="M411" s="16">
        <v>292300</v>
      </c>
      <c r="N411" s="16">
        <v>1783030</v>
      </c>
      <c r="O411" s="15">
        <v>321530</v>
      </c>
    </row>
    <row r="412" spans="1:15" x14ac:dyDescent="0.3">
      <c r="A412" s="2" t="s">
        <v>420</v>
      </c>
      <c r="B412" s="1" t="s">
        <v>588</v>
      </c>
      <c r="C412" s="6" t="str">
        <f t="shared" si="6"/>
        <v>January</v>
      </c>
      <c r="D412" s="1" t="s">
        <v>786</v>
      </c>
      <c r="E412" s="1" t="s">
        <v>791</v>
      </c>
      <c r="F412" s="1" t="s">
        <v>795</v>
      </c>
      <c r="G412" s="1" t="s">
        <v>803</v>
      </c>
      <c r="H412" s="1" t="s">
        <v>807</v>
      </c>
      <c r="I412" s="10" t="s">
        <v>811</v>
      </c>
      <c r="J412" s="1" t="s">
        <v>817</v>
      </c>
      <c r="K412" s="24">
        <v>98</v>
      </c>
      <c r="L412" s="25">
        <v>4</v>
      </c>
      <c r="M412" s="16">
        <v>41570</v>
      </c>
      <c r="N412" s="16">
        <v>197873.2</v>
      </c>
      <c r="O412" s="15">
        <v>31593.200000000012</v>
      </c>
    </row>
    <row r="413" spans="1:15" x14ac:dyDescent="0.3">
      <c r="A413" s="2" t="s">
        <v>421</v>
      </c>
      <c r="B413" s="1" t="s">
        <v>718</v>
      </c>
      <c r="C413" s="6" t="str">
        <f t="shared" si="6"/>
        <v>June</v>
      </c>
      <c r="D413" s="1" t="s">
        <v>787</v>
      </c>
      <c r="E413" s="1" t="s">
        <v>791</v>
      </c>
      <c r="F413" s="1" t="s">
        <v>796</v>
      </c>
      <c r="G413" s="1" t="s">
        <v>802</v>
      </c>
      <c r="H413" s="1" t="s">
        <v>809</v>
      </c>
      <c r="I413" s="10" t="s">
        <v>814</v>
      </c>
      <c r="J413" s="1" t="s">
        <v>817</v>
      </c>
      <c r="K413" s="24">
        <v>1</v>
      </c>
      <c r="L413" s="25">
        <v>11</v>
      </c>
      <c r="M413" s="16">
        <v>62700</v>
      </c>
      <c r="N413" s="16">
        <v>841434</v>
      </c>
      <c r="O413" s="15">
        <v>151734</v>
      </c>
    </row>
    <row r="414" spans="1:15" x14ac:dyDescent="0.3">
      <c r="A414" s="2" t="s">
        <v>422</v>
      </c>
      <c r="B414" s="1" t="s">
        <v>754</v>
      </c>
      <c r="C414" s="6" t="str">
        <f t="shared" si="6"/>
        <v>June</v>
      </c>
      <c r="D414" s="1" t="s">
        <v>784</v>
      </c>
      <c r="E414" s="1" t="s">
        <v>792</v>
      </c>
      <c r="F414" s="1" t="s">
        <v>796</v>
      </c>
      <c r="G414" s="1" t="s">
        <v>800</v>
      </c>
      <c r="H414" s="1" t="s">
        <v>810</v>
      </c>
      <c r="I414" s="10" t="s">
        <v>812</v>
      </c>
      <c r="J414" s="1" t="s">
        <v>816</v>
      </c>
      <c r="K414" s="24">
        <v>97</v>
      </c>
      <c r="L414" s="25">
        <v>1</v>
      </c>
      <c r="M414" s="16">
        <v>145300</v>
      </c>
      <c r="N414" s="16">
        <v>177266</v>
      </c>
      <c r="O414" s="15">
        <v>31966</v>
      </c>
    </row>
    <row r="415" spans="1:15" x14ac:dyDescent="0.3">
      <c r="A415" s="2" t="s">
        <v>423</v>
      </c>
      <c r="B415" s="1" t="s">
        <v>658</v>
      </c>
      <c r="C415" s="6" t="str">
        <f t="shared" si="6"/>
        <v>October</v>
      </c>
      <c r="D415" s="1" t="s">
        <v>786</v>
      </c>
      <c r="E415" s="1" t="s">
        <v>792</v>
      </c>
      <c r="F415" s="1" t="s">
        <v>795</v>
      </c>
      <c r="G415" s="1" t="s">
        <v>798</v>
      </c>
      <c r="H415" s="1" t="s">
        <v>805</v>
      </c>
      <c r="I415" s="10" t="s">
        <v>811</v>
      </c>
      <c r="J415" s="1" t="s">
        <v>820</v>
      </c>
      <c r="K415" s="24">
        <v>30</v>
      </c>
      <c r="L415" s="25">
        <v>9</v>
      </c>
      <c r="M415" s="16">
        <v>1660</v>
      </c>
      <c r="N415" s="16">
        <v>17778.599999999999</v>
      </c>
      <c r="O415" s="15">
        <v>2838.5999999999985</v>
      </c>
    </row>
    <row r="416" spans="1:15" x14ac:dyDescent="0.3">
      <c r="A416" s="2" t="s">
        <v>424</v>
      </c>
      <c r="B416" s="1" t="s">
        <v>563</v>
      </c>
      <c r="C416" s="6" t="str">
        <f t="shared" si="6"/>
        <v>May</v>
      </c>
      <c r="D416" s="1" t="s">
        <v>784</v>
      </c>
      <c r="E416" s="1" t="s">
        <v>792</v>
      </c>
      <c r="F416" s="1" t="s">
        <v>796</v>
      </c>
      <c r="G416" s="1" t="s">
        <v>802</v>
      </c>
      <c r="H416" s="1" t="s">
        <v>809</v>
      </c>
      <c r="I416" s="10" t="s">
        <v>814</v>
      </c>
      <c r="J416" s="1" t="s">
        <v>817</v>
      </c>
      <c r="K416" s="24">
        <v>91</v>
      </c>
      <c r="L416" s="25">
        <v>7</v>
      </c>
      <c r="M416" s="16">
        <v>49010</v>
      </c>
      <c r="N416" s="16">
        <v>418545.4</v>
      </c>
      <c r="O416" s="15">
        <v>75475.400000000023</v>
      </c>
    </row>
    <row r="417" spans="1:15" x14ac:dyDescent="0.3">
      <c r="A417" s="2" t="s">
        <v>425</v>
      </c>
      <c r="B417" s="1" t="s">
        <v>728</v>
      </c>
      <c r="C417" s="6" t="str">
        <f t="shared" si="6"/>
        <v>June</v>
      </c>
      <c r="D417" s="1" t="s">
        <v>788</v>
      </c>
      <c r="E417" s="1" t="s">
        <v>790</v>
      </c>
      <c r="F417" s="1" t="s">
        <v>794</v>
      </c>
      <c r="G417" s="1" t="s">
        <v>801</v>
      </c>
      <c r="H417" s="1" t="s">
        <v>806</v>
      </c>
      <c r="I417" s="10" t="s">
        <v>815</v>
      </c>
      <c r="J417" s="1" t="s">
        <v>820</v>
      </c>
      <c r="K417" s="24">
        <v>36</v>
      </c>
      <c r="L417" s="25">
        <v>17</v>
      </c>
      <c r="M417" s="16">
        <v>1907</v>
      </c>
      <c r="N417" s="16">
        <v>37281.85</v>
      </c>
      <c r="O417" s="15">
        <v>4862.8499999999985</v>
      </c>
    </row>
    <row r="418" spans="1:15" x14ac:dyDescent="0.3">
      <c r="A418" s="2" t="s">
        <v>426</v>
      </c>
      <c r="B418" s="1" t="s">
        <v>622</v>
      </c>
      <c r="C418" s="6" t="str">
        <f t="shared" si="6"/>
        <v>May</v>
      </c>
      <c r="D418" s="1" t="s">
        <v>789</v>
      </c>
      <c r="E418" s="1" t="s">
        <v>793</v>
      </c>
      <c r="F418" s="1" t="s">
        <v>796</v>
      </c>
      <c r="G418" s="1" t="s">
        <v>800</v>
      </c>
      <c r="H418" s="1" t="s">
        <v>810</v>
      </c>
      <c r="I418" s="10" t="s">
        <v>814</v>
      </c>
      <c r="J418" s="1" t="s">
        <v>817</v>
      </c>
      <c r="K418" s="24">
        <v>89</v>
      </c>
      <c r="L418" s="25">
        <v>14</v>
      </c>
      <c r="M418" s="16">
        <v>142500</v>
      </c>
      <c r="N418" s="16">
        <v>2433900</v>
      </c>
      <c r="O418" s="15">
        <v>438900</v>
      </c>
    </row>
    <row r="419" spans="1:15" x14ac:dyDescent="0.3">
      <c r="A419" s="2" t="s">
        <v>427</v>
      </c>
      <c r="B419" s="1" t="s">
        <v>545</v>
      </c>
      <c r="C419" s="6" t="str">
        <f t="shared" si="6"/>
        <v>September</v>
      </c>
      <c r="D419" s="1" t="s">
        <v>788</v>
      </c>
      <c r="E419" s="1" t="s">
        <v>790</v>
      </c>
      <c r="F419" s="1" t="s">
        <v>796</v>
      </c>
      <c r="G419" s="1" t="s">
        <v>799</v>
      </c>
      <c r="H419" s="1" t="s">
        <v>804</v>
      </c>
      <c r="I419" s="10" t="s">
        <v>814</v>
      </c>
      <c r="J419" s="1" t="s">
        <v>819</v>
      </c>
      <c r="K419" s="24">
        <v>46</v>
      </c>
      <c r="L419" s="25">
        <v>18</v>
      </c>
      <c r="M419" s="16">
        <v>308200</v>
      </c>
      <c r="N419" s="16">
        <v>6768072</v>
      </c>
      <c r="O419" s="15">
        <v>1220472</v>
      </c>
    </row>
    <row r="420" spans="1:15" x14ac:dyDescent="0.3">
      <c r="A420" s="2" t="s">
        <v>428</v>
      </c>
      <c r="B420" s="1" t="s">
        <v>566</v>
      </c>
      <c r="C420" s="6" t="str">
        <f t="shared" si="6"/>
        <v>December</v>
      </c>
      <c r="D420" s="1" t="s">
        <v>786</v>
      </c>
      <c r="E420" s="1" t="s">
        <v>791</v>
      </c>
      <c r="F420" s="1" t="s">
        <v>794</v>
      </c>
      <c r="G420" s="1" t="s">
        <v>801</v>
      </c>
      <c r="H420" s="1" t="s">
        <v>806</v>
      </c>
      <c r="I420" s="10" t="s">
        <v>813</v>
      </c>
      <c r="J420" s="1" t="s">
        <v>818</v>
      </c>
      <c r="K420" s="24">
        <v>12</v>
      </c>
      <c r="L420" s="25">
        <v>15</v>
      </c>
      <c r="M420" s="16">
        <v>550</v>
      </c>
      <c r="N420" s="16">
        <v>9487.5</v>
      </c>
      <c r="O420" s="15">
        <v>1237.5</v>
      </c>
    </row>
    <row r="421" spans="1:15" x14ac:dyDescent="0.3">
      <c r="A421" s="2" t="s">
        <v>429</v>
      </c>
      <c r="B421" s="1" t="s">
        <v>755</v>
      </c>
      <c r="C421" s="6" t="str">
        <f t="shared" si="6"/>
        <v>December</v>
      </c>
      <c r="D421" s="1" t="s">
        <v>789</v>
      </c>
      <c r="E421" s="1" t="s">
        <v>792</v>
      </c>
      <c r="F421" s="1" t="s">
        <v>796</v>
      </c>
      <c r="G421" s="1" t="s">
        <v>800</v>
      </c>
      <c r="H421" s="1" t="s">
        <v>810</v>
      </c>
      <c r="I421" s="10" t="s">
        <v>812</v>
      </c>
      <c r="J421" s="1" t="s">
        <v>820</v>
      </c>
      <c r="K421" s="24">
        <v>58</v>
      </c>
      <c r="L421" s="25">
        <v>11</v>
      </c>
      <c r="M421" s="16">
        <v>143500</v>
      </c>
      <c r="N421" s="16">
        <v>1925770</v>
      </c>
      <c r="O421" s="15">
        <v>347270</v>
      </c>
    </row>
    <row r="422" spans="1:15" x14ac:dyDescent="0.3">
      <c r="A422" s="2" t="s">
        <v>430</v>
      </c>
      <c r="B422" s="1" t="s">
        <v>534</v>
      </c>
      <c r="C422" s="6" t="str">
        <f t="shared" si="6"/>
        <v>June</v>
      </c>
      <c r="D422" s="1" t="s">
        <v>789</v>
      </c>
      <c r="E422" s="1" t="s">
        <v>793</v>
      </c>
      <c r="F422" s="1" t="s">
        <v>796</v>
      </c>
      <c r="G422" s="1" t="s">
        <v>802</v>
      </c>
      <c r="H422" s="1" t="s">
        <v>809</v>
      </c>
      <c r="I422" s="10" t="s">
        <v>812</v>
      </c>
      <c r="J422" s="1" t="s">
        <v>816</v>
      </c>
      <c r="K422" s="24">
        <v>85</v>
      </c>
      <c r="L422" s="25">
        <v>8</v>
      </c>
      <c r="M422" s="16">
        <v>34970</v>
      </c>
      <c r="N422" s="16">
        <v>341307.2</v>
      </c>
      <c r="O422" s="15">
        <v>61547.200000000012</v>
      </c>
    </row>
    <row r="423" spans="1:15" x14ac:dyDescent="0.3">
      <c r="A423" s="2" t="s">
        <v>431</v>
      </c>
      <c r="B423" s="1" t="s">
        <v>756</v>
      </c>
      <c r="C423" s="6" t="str">
        <f t="shared" si="6"/>
        <v>July</v>
      </c>
      <c r="D423" s="1" t="s">
        <v>785</v>
      </c>
      <c r="E423" s="1" t="s">
        <v>790</v>
      </c>
      <c r="F423" s="1" t="s">
        <v>796</v>
      </c>
      <c r="G423" s="1" t="s">
        <v>802</v>
      </c>
      <c r="H423" s="1" t="s">
        <v>809</v>
      </c>
      <c r="I423" s="10" t="s">
        <v>812</v>
      </c>
      <c r="J423" s="1" t="s">
        <v>819</v>
      </c>
      <c r="K423" s="24">
        <v>76</v>
      </c>
      <c r="L423" s="25">
        <v>11</v>
      </c>
      <c r="M423" s="16">
        <v>27790</v>
      </c>
      <c r="N423" s="16">
        <v>372941.8</v>
      </c>
      <c r="O423" s="15">
        <v>67251.799999999988</v>
      </c>
    </row>
    <row r="424" spans="1:15" x14ac:dyDescent="0.3">
      <c r="A424" s="2" t="s">
        <v>432</v>
      </c>
      <c r="B424" s="1" t="s">
        <v>739</v>
      </c>
      <c r="C424" s="6" t="str">
        <f t="shared" si="6"/>
        <v>February</v>
      </c>
      <c r="D424" s="1" t="s">
        <v>785</v>
      </c>
      <c r="E424" s="1" t="s">
        <v>792</v>
      </c>
      <c r="F424" s="1" t="s">
        <v>794</v>
      </c>
      <c r="G424" s="1" t="s">
        <v>797</v>
      </c>
      <c r="H424" s="1" t="s">
        <v>808</v>
      </c>
      <c r="I424" s="10" t="s">
        <v>815</v>
      </c>
      <c r="J424" s="1" t="s">
        <v>816</v>
      </c>
      <c r="K424" s="24">
        <v>24</v>
      </c>
      <c r="L424" s="25">
        <v>19</v>
      </c>
      <c r="M424" s="16">
        <v>1641</v>
      </c>
      <c r="N424" s="16">
        <v>35855.85</v>
      </c>
      <c r="O424" s="15">
        <v>4676.8499999999985</v>
      </c>
    </row>
    <row r="425" spans="1:15" x14ac:dyDescent="0.3">
      <c r="A425" s="2" t="s">
        <v>433</v>
      </c>
      <c r="B425" s="1" t="s">
        <v>757</v>
      </c>
      <c r="C425" s="6" t="str">
        <f t="shared" si="6"/>
        <v>April</v>
      </c>
      <c r="D425" s="1" t="s">
        <v>785</v>
      </c>
      <c r="E425" s="1" t="s">
        <v>792</v>
      </c>
      <c r="F425" s="1" t="s">
        <v>795</v>
      </c>
      <c r="G425" s="1" t="s">
        <v>803</v>
      </c>
      <c r="H425" s="1" t="s">
        <v>807</v>
      </c>
      <c r="I425" s="10" t="s">
        <v>811</v>
      </c>
      <c r="J425" s="1" t="s">
        <v>818</v>
      </c>
      <c r="K425" s="24">
        <v>73</v>
      </c>
      <c r="L425" s="25">
        <v>8</v>
      </c>
      <c r="M425" s="16">
        <v>49830</v>
      </c>
      <c r="N425" s="16">
        <v>474381.6</v>
      </c>
      <c r="O425" s="15">
        <v>75741.599999999977</v>
      </c>
    </row>
    <row r="426" spans="1:15" x14ac:dyDescent="0.3">
      <c r="A426" s="2" t="s">
        <v>434</v>
      </c>
      <c r="B426" s="1" t="s">
        <v>655</v>
      </c>
      <c r="C426" s="6" t="str">
        <f t="shared" si="6"/>
        <v>November</v>
      </c>
      <c r="D426" s="1" t="s">
        <v>785</v>
      </c>
      <c r="E426" s="1" t="s">
        <v>792</v>
      </c>
      <c r="F426" s="1" t="s">
        <v>794</v>
      </c>
      <c r="G426" s="1" t="s">
        <v>801</v>
      </c>
      <c r="H426" s="1" t="s">
        <v>806</v>
      </c>
      <c r="I426" s="10" t="s">
        <v>815</v>
      </c>
      <c r="J426" s="1" t="s">
        <v>819</v>
      </c>
      <c r="K426" s="24">
        <v>86</v>
      </c>
      <c r="L426" s="25">
        <v>2</v>
      </c>
      <c r="M426" s="16">
        <v>1100</v>
      </c>
      <c r="N426" s="16">
        <v>2530</v>
      </c>
      <c r="O426" s="15">
        <v>330</v>
      </c>
    </row>
    <row r="427" spans="1:15" x14ac:dyDescent="0.3">
      <c r="A427" s="2" t="s">
        <v>435</v>
      </c>
      <c r="B427" s="1" t="s">
        <v>748</v>
      </c>
      <c r="C427" s="6" t="str">
        <f t="shared" si="6"/>
        <v>April</v>
      </c>
      <c r="D427" s="1" t="s">
        <v>786</v>
      </c>
      <c r="E427" s="1" t="s">
        <v>793</v>
      </c>
      <c r="F427" s="1" t="s">
        <v>796</v>
      </c>
      <c r="G427" s="1" t="s">
        <v>799</v>
      </c>
      <c r="H427" s="1" t="s">
        <v>804</v>
      </c>
      <c r="I427" s="10" t="s">
        <v>812</v>
      </c>
      <c r="J427" s="1" t="s">
        <v>816</v>
      </c>
      <c r="K427" s="24">
        <v>77</v>
      </c>
      <c r="L427" s="25">
        <v>13</v>
      </c>
      <c r="M427" s="16">
        <v>244500</v>
      </c>
      <c r="N427" s="16">
        <v>3877770</v>
      </c>
      <c r="O427" s="15">
        <v>699270</v>
      </c>
    </row>
    <row r="428" spans="1:15" x14ac:dyDescent="0.3">
      <c r="A428" s="2" t="s">
        <v>436</v>
      </c>
      <c r="B428" s="1" t="s">
        <v>602</v>
      </c>
      <c r="C428" s="6" t="str">
        <f t="shared" si="6"/>
        <v>October</v>
      </c>
      <c r="D428" s="1" t="s">
        <v>786</v>
      </c>
      <c r="E428" s="1" t="s">
        <v>790</v>
      </c>
      <c r="F428" s="1" t="s">
        <v>794</v>
      </c>
      <c r="G428" s="1" t="s">
        <v>801</v>
      </c>
      <c r="H428" s="1" t="s">
        <v>806</v>
      </c>
      <c r="I428" s="10" t="s">
        <v>815</v>
      </c>
      <c r="J428" s="1" t="s">
        <v>817</v>
      </c>
      <c r="K428" s="24">
        <v>10</v>
      </c>
      <c r="L428" s="25">
        <v>20</v>
      </c>
      <c r="M428" s="16">
        <v>4620</v>
      </c>
      <c r="N428" s="16">
        <v>106260</v>
      </c>
      <c r="O428" s="15">
        <v>13860</v>
      </c>
    </row>
    <row r="429" spans="1:15" x14ac:dyDescent="0.3">
      <c r="A429" s="2" t="s">
        <v>437</v>
      </c>
      <c r="B429" s="1" t="s">
        <v>534</v>
      </c>
      <c r="C429" s="6" t="str">
        <f t="shared" si="6"/>
        <v>June</v>
      </c>
      <c r="D429" s="1" t="s">
        <v>789</v>
      </c>
      <c r="E429" s="1" t="s">
        <v>792</v>
      </c>
      <c r="F429" s="1" t="s">
        <v>795</v>
      </c>
      <c r="G429" s="1" t="s">
        <v>803</v>
      </c>
      <c r="H429" s="1" t="s">
        <v>807</v>
      </c>
      <c r="I429" s="10" t="s">
        <v>811</v>
      </c>
      <c r="J429" s="1" t="s">
        <v>820</v>
      </c>
      <c r="K429" s="24">
        <v>53</v>
      </c>
      <c r="L429" s="25">
        <v>5</v>
      </c>
      <c r="M429" s="16">
        <v>38460</v>
      </c>
      <c r="N429" s="16">
        <v>228837</v>
      </c>
      <c r="O429" s="15">
        <v>36537</v>
      </c>
    </row>
    <row r="430" spans="1:15" x14ac:dyDescent="0.3">
      <c r="A430" s="2" t="s">
        <v>438</v>
      </c>
      <c r="B430" s="1" t="s">
        <v>595</v>
      </c>
      <c r="C430" s="6" t="str">
        <f t="shared" si="6"/>
        <v>September</v>
      </c>
      <c r="D430" s="1" t="s">
        <v>785</v>
      </c>
      <c r="E430" s="1" t="s">
        <v>791</v>
      </c>
      <c r="F430" s="1" t="s">
        <v>794</v>
      </c>
      <c r="G430" s="1" t="s">
        <v>801</v>
      </c>
      <c r="H430" s="1" t="s">
        <v>806</v>
      </c>
      <c r="I430" s="10" t="s">
        <v>815</v>
      </c>
      <c r="J430" s="1" t="s">
        <v>820</v>
      </c>
      <c r="K430" s="24">
        <v>45</v>
      </c>
      <c r="L430" s="25">
        <v>2</v>
      </c>
      <c r="M430" s="16">
        <v>2771</v>
      </c>
      <c r="N430" s="16">
        <v>6373.3</v>
      </c>
      <c r="O430" s="15">
        <v>831.30000000000018</v>
      </c>
    </row>
    <row r="431" spans="1:15" x14ac:dyDescent="0.3">
      <c r="A431" s="2" t="s">
        <v>439</v>
      </c>
      <c r="B431" s="1" t="s">
        <v>758</v>
      </c>
      <c r="C431" s="6" t="str">
        <f t="shared" si="6"/>
        <v>May</v>
      </c>
      <c r="D431" s="1" t="s">
        <v>786</v>
      </c>
      <c r="E431" s="1" t="s">
        <v>793</v>
      </c>
      <c r="F431" s="1" t="s">
        <v>794</v>
      </c>
      <c r="G431" s="1" t="s">
        <v>801</v>
      </c>
      <c r="H431" s="1" t="s">
        <v>806</v>
      </c>
      <c r="I431" s="10" t="s">
        <v>815</v>
      </c>
      <c r="J431" s="1" t="s">
        <v>817</v>
      </c>
      <c r="K431" s="24">
        <v>38</v>
      </c>
      <c r="L431" s="25">
        <v>18</v>
      </c>
      <c r="M431" s="16">
        <v>561</v>
      </c>
      <c r="N431" s="16">
        <v>11612.7</v>
      </c>
      <c r="O431" s="15">
        <v>1514.7000000000007</v>
      </c>
    </row>
    <row r="432" spans="1:15" x14ac:dyDescent="0.3">
      <c r="A432" s="2" t="s">
        <v>440</v>
      </c>
      <c r="B432" s="1" t="s">
        <v>759</v>
      </c>
      <c r="C432" s="6" t="str">
        <f t="shared" si="6"/>
        <v>December</v>
      </c>
      <c r="D432" s="1" t="s">
        <v>787</v>
      </c>
      <c r="E432" s="1" t="s">
        <v>791</v>
      </c>
      <c r="F432" s="1" t="s">
        <v>795</v>
      </c>
      <c r="G432" s="1" t="s">
        <v>803</v>
      </c>
      <c r="H432" s="1" t="s">
        <v>807</v>
      </c>
      <c r="I432" s="10" t="s">
        <v>811</v>
      </c>
      <c r="J432" s="1" t="s">
        <v>816</v>
      </c>
      <c r="K432" s="24">
        <v>60</v>
      </c>
      <c r="L432" s="25">
        <v>13</v>
      </c>
      <c r="M432" s="16">
        <v>38040</v>
      </c>
      <c r="N432" s="16">
        <v>588478.80000000005</v>
      </c>
      <c r="O432" s="15">
        <v>93958.800000000047</v>
      </c>
    </row>
    <row r="433" spans="1:15" x14ac:dyDescent="0.3">
      <c r="A433" s="2" t="s">
        <v>441</v>
      </c>
      <c r="B433" s="1" t="s">
        <v>713</v>
      </c>
      <c r="C433" s="6" t="str">
        <f t="shared" si="6"/>
        <v>August</v>
      </c>
      <c r="D433" s="1" t="s">
        <v>788</v>
      </c>
      <c r="E433" s="1" t="s">
        <v>790</v>
      </c>
      <c r="F433" s="1" t="s">
        <v>794</v>
      </c>
      <c r="G433" s="1" t="s">
        <v>797</v>
      </c>
      <c r="H433" s="1" t="s">
        <v>808</v>
      </c>
      <c r="I433" s="10" t="s">
        <v>813</v>
      </c>
      <c r="J433" s="1" t="s">
        <v>816</v>
      </c>
      <c r="K433" s="24">
        <v>100</v>
      </c>
      <c r="L433" s="25">
        <v>10</v>
      </c>
      <c r="M433" s="16">
        <v>878</v>
      </c>
      <c r="N433" s="16">
        <v>10097</v>
      </c>
      <c r="O433" s="15">
        <v>1317</v>
      </c>
    </row>
    <row r="434" spans="1:15" x14ac:dyDescent="0.3">
      <c r="A434" s="2" t="s">
        <v>442</v>
      </c>
      <c r="B434" s="1" t="s">
        <v>760</v>
      </c>
      <c r="C434" s="6" t="str">
        <f t="shared" si="6"/>
        <v>January</v>
      </c>
      <c r="D434" s="1" t="s">
        <v>789</v>
      </c>
      <c r="E434" s="1" t="s">
        <v>790</v>
      </c>
      <c r="F434" s="1" t="s">
        <v>796</v>
      </c>
      <c r="G434" s="1" t="s">
        <v>799</v>
      </c>
      <c r="H434" s="1" t="s">
        <v>804</v>
      </c>
      <c r="I434" s="10" t="s">
        <v>812</v>
      </c>
      <c r="J434" s="1" t="s">
        <v>820</v>
      </c>
      <c r="K434" s="24">
        <v>46</v>
      </c>
      <c r="L434" s="25">
        <v>18</v>
      </c>
      <c r="M434" s="16">
        <v>411300</v>
      </c>
      <c r="N434" s="16">
        <v>9032148</v>
      </c>
      <c r="O434" s="15">
        <v>1628748</v>
      </c>
    </row>
    <row r="435" spans="1:15" x14ac:dyDescent="0.3">
      <c r="A435" s="2" t="s">
        <v>443</v>
      </c>
      <c r="B435" s="1" t="s">
        <v>761</v>
      </c>
      <c r="C435" s="6" t="str">
        <f t="shared" si="6"/>
        <v>March</v>
      </c>
      <c r="D435" s="1" t="s">
        <v>786</v>
      </c>
      <c r="E435" s="1" t="s">
        <v>791</v>
      </c>
      <c r="F435" s="1" t="s">
        <v>795</v>
      </c>
      <c r="G435" s="1" t="s">
        <v>803</v>
      </c>
      <c r="H435" s="1" t="s">
        <v>807</v>
      </c>
      <c r="I435" s="10" t="s">
        <v>811</v>
      </c>
      <c r="J435" s="1" t="s">
        <v>820</v>
      </c>
      <c r="K435" s="24">
        <v>91</v>
      </c>
      <c r="L435" s="25">
        <v>3</v>
      </c>
      <c r="M435" s="16">
        <v>29130</v>
      </c>
      <c r="N435" s="16">
        <v>103994.1</v>
      </c>
      <c r="O435" s="15">
        <v>16604.100000000006</v>
      </c>
    </row>
    <row r="436" spans="1:15" x14ac:dyDescent="0.3">
      <c r="A436" s="2" t="s">
        <v>444</v>
      </c>
      <c r="B436" s="1" t="s">
        <v>737</v>
      </c>
      <c r="C436" s="6" t="str">
        <f t="shared" si="6"/>
        <v>January</v>
      </c>
      <c r="D436" s="1" t="s">
        <v>786</v>
      </c>
      <c r="E436" s="1" t="s">
        <v>790</v>
      </c>
      <c r="F436" s="1" t="s">
        <v>796</v>
      </c>
      <c r="G436" s="1" t="s">
        <v>802</v>
      </c>
      <c r="H436" s="1" t="s">
        <v>809</v>
      </c>
      <c r="I436" s="10" t="s">
        <v>814</v>
      </c>
      <c r="J436" s="1" t="s">
        <v>817</v>
      </c>
      <c r="K436" s="24">
        <v>14</v>
      </c>
      <c r="L436" s="25">
        <v>17</v>
      </c>
      <c r="M436" s="16">
        <v>27620</v>
      </c>
      <c r="N436" s="16">
        <v>572838.80000000005</v>
      </c>
      <c r="O436" s="15">
        <v>103298.80000000005</v>
      </c>
    </row>
    <row r="437" spans="1:15" x14ac:dyDescent="0.3">
      <c r="A437" s="2" t="s">
        <v>445</v>
      </c>
      <c r="B437" s="1" t="s">
        <v>762</v>
      </c>
      <c r="C437" s="6" t="str">
        <f t="shared" si="6"/>
        <v>March</v>
      </c>
      <c r="D437" s="1" t="s">
        <v>784</v>
      </c>
      <c r="E437" s="1" t="s">
        <v>790</v>
      </c>
      <c r="F437" s="1" t="s">
        <v>795</v>
      </c>
      <c r="G437" s="1" t="s">
        <v>798</v>
      </c>
      <c r="H437" s="1" t="s">
        <v>805</v>
      </c>
      <c r="I437" s="10" t="s">
        <v>811</v>
      </c>
      <c r="J437" s="1" t="s">
        <v>816</v>
      </c>
      <c r="K437" s="24">
        <v>97</v>
      </c>
      <c r="L437" s="25">
        <v>11</v>
      </c>
      <c r="M437" s="16">
        <v>1942</v>
      </c>
      <c r="N437" s="16">
        <v>25420.78</v>
      </c>
      <c r="O437" s="15">
        <v>4058.7799999999988</v>
      </c>
    </row>
    <row r="438" spans="1:15" x14ac:dyDescent="0.3">
      <c r="A438" s="2" t="s">
        <v>446</v>
      </c>
      <c r="B438" s="1" t="s">
        <v>661</v>
      </c>
      <c r="C438" s="6" t="str">
        <f t="shared" si="6"/>
        <v>August</v>
      </c>
      <c r="D438" s="1" t="s">
        <v>789</v>
      </c>
      <c r="E438" s="1" t="s">
        <v>790</v>
      </c>
      <c r="F438" s="1" t="s">
        <v>796</v>
      </c>
      <c r="G438" s="1" t="s">
        <v>799</v>
      </c>
      <c r="H438" s="1" t="s">
        <v>804</v>
      </c>
      <c r="I438" s="10" t="s">
        <v>812</v>
      </c>
      <c r="J438" s="1" t="s">
        <v>817</v>
      </c>
      <c r="K438" s="24">
        <v>20</v>
      </c>
      <c r="L438" s="25">
        <v>8</v>
      </c>
      <c r="M438" s="16">
        <v>52555</v>
      </c>
      <c r="N438" s="16">
        <v>512936.8</v>
      </c>
      <c r="O438" s="15">
        <v>92496.799999999988</v>
      </c>
    </row>
    <row r="439" spans="1:15" x14ac:dyDescent="0.3">
      <c r="A439" s="2" t="s">
        <v>447</v>
      </c>
      <c r="B439" s="1" t="s">
        <v>520</v>
      </c>
      <c r="C439" s="6" t="str">
        <f t="shared" si="6"/>
        <v>June</v>
      </c>
      <c r="D439" s="1" t="s">
        <v>789</v>
      </c>
      <c r="E439" s="1" t="s">
        <v>792</v>
      </c>
      <c r="F439" s="1" t="s">
        <v>794</v>
      </c>
      <c r="G439" s="1" t="s">
        <v>797</v>
      </c>
      <c r="H439" s="1" t="s">
        <v>808</v>
      </c>
      <c r="I439" s="10" t="s">
        <v>813</v>
      </c>
      <c r="J439" s="1" t="s">
        <v>818</v>
      </c>
      <c r="K439" s="24">
        <v>65</v>
      </c>
      <c r="L439" s="25">
        <v>4</v>
      </c>
      <c r="M439" s="16">
        <v>2270</v>
      </c>
      <c r="N439" s="16">
        <v>10442</v>
      </c>
      <c r="O439" s="15">
        <v>1362</v>
      </c>
    </row>
    <row r="440" spans="1:15" x14ac:dyDescent="0.3">
      <c r="A440" s="2" t="s">
        <v>448</v>
      </c>
      <c r="B440" s="1" t="s">
        <v>703</v>
      </c>
      <c r="C440" s="6" t="str">
        <f t="shared" si="6"/>
        <v>June</v>
      </c>
      <c r="D440" s="1" t="s">
        <v>786</v>
      </c>
      <c r="E440" s="1" t="s">
        <v>791</v>
      </c>
      <c r="F440" s="1" t="s">
        <v>794</v>
      </c>
      <c r="G440" s="1" t="s">
        <v>797</v>
      </c>
      <c r="H440" s="1" t="s">
        <v>808</v>
      </c>
      <c r="I440" s="10" t="s">
        <v>815</v>
      </c>
      <c r="J440" s="1" t="s">
        <v>818</v>
      </c>
      <c r="K440" s="24">
        <v>22</v>
      </c>
      <c r="L440" s="25">
        <v>20</v>
      </c>
      <c r="M440" s="16">
        <v>4374</v>
      </c>
      <c r="N440" s="16">
        <v>100602</v>
      </c>
      <c r="O440" s="15">
        <v>13122</v>
      </c>
    </row>
    <row r="441" spans="1:15" x14ac:dyDescent="0.3">
      <c r="A441" s="2" t="s">
        <v>449</v>
      </c>
      <c r="B441" s="1" t="s">
        <v>707</v>
      </c>
      <c r="C441" s="6" t="str">
        <f t="shared" si="6"/>
        <v>May</v>
      </c>
      <c r="D441" s="1" t="s">
        <v>787</v>
      </c>
      <c r="E441" s="1" t="s">
        <v>793</v>
      </c>
      <c r="F441" s="1" t="s">
        <v>796</v>
      </c>
      <c r="G441" s="1" t="s">
        <v>802</v>
      </c>
      <c r="H441" s="1" t="s">
        <v>809</v>
      </c>
      <c r="I441" s="10" t="s">
        <v>814</v>
      </c>
      <c r="J441" s="1" t="s">
        <v>816</v>
      </c>
      <c r="K441" s="24">
        <v>47</v>
      </c>
      <c r="L441" s="25">
        <v>15</v>
      </c>
      <c r="M441" s="16">
        <v>35820</v>
      </c>
      <c r="N441" s="16">
        <v>655506</v>
      </c>
      <c r="O441" s="15">
        <v>118206</v>
      </c>
    </row>
    <row r="442" spans="1:15" x14ac:dyDescent="0.3">
      <c r="A442" s="2" t="s">
        <v>450</v>
      </c>
      <c r="B442" s="1" t="s">
        <v>683</v>
      </c>
      <c r="C442" s="6" t="str">
        <f t="shared" si="6"/>
        <v>September</v>
      </c>
      <c r="D442" s="1" t="s">
        <v>786</v>
      </c>
      <c r="E442" s="1" t="s">
        <v>793</v>
      </c>
      <c r="F442" s="1" t="s">
        <v>795</v>
      </c>
      <c r="G442" s="1" t="s">
        <v>798</v>
      </c>
      <c r="H442" s="1" t="s">
        <v>805</v>
      </c>
      <c r="I442" s="10" t="s">
        <v>811</v>
      </c>
      <c r="J442" s="1" t="s">
        <v>820</v>
      </c>
      <c r="K442" s="24">
        <v>45</v>
      </c>
      <c r="L442" s="25">
        <v>1</v>
      </c>
      <c r="M442" s="16">
        <v>4689</v>
      </c>
      <c r="N442" s="16">
        <v>5579.91</v>
      </c>
      <c r="O442" s="15">
        <v>890.90999999999985</v>
      </c>
    </row>
    <row r="443" spans="1:15" x14ac:dyDescent="0.3">
      <c r="A443" s="2" t="s">
        <v>451</v>
      </c>
      <c r="B443" s="1" t="s">
        <v>763</v>
      </c>
      <c r="C443" s="6" t="str">
        <f t="shared" si="6"/>
        <v>April</v>
      </c>
      <c r="D443" s="1" t="s">
        <v>785</v>
      </c>
      <c r="E443" s="1" t="s">
        <v>790</v>
      </c>
      <c r="F443" s="1" t="s">
        <v>796</v>
      </c>
      <c r="G443" s="1" t="s">
        <v>802</v>
      </c>
      <c r="H443" s="1" t="s">
        <v>809</v>
      </c>
      <c r="I443" s="10" t="s">
        <v>812</v>
      </c>
      <c r="J443" s="1" t="s">
        <v>817</v>
      </c>
      <c r="K443" s="24">
        <v>46</v>
      </c>
      <c r="L443" s="25">
        <v>11</v>
      </c>
      <c r="M443" s="16">
        <v>183400</v>
      </c>
      <c r="N443" s="16">
        <v>2461228</v>
      </c>
      <c r="O443" s="15">
        <v>443828</v>
      </c>
    </row>
    <row r="444" spans="1:15" x14ac:dyDescent="0.3">
      <c r="A444" s="2" t="s">
        <v>452</v>
      </c>
      <c r="B444" s="1" t="s">
        <v>621</v>
      </c>
      <c r="C444" s="6" t="str">
        <f t="shared" si="6"/>
        <v>November</v>
      </c>
      <c r="D444" s="1" t="s">
        <v>785</v>
      </c>
      <c r="E444" s="1" t="s">
        <v>792</v>
      </c>
      <c r="F444" s="1" t="s">
        <v>795</v>
      </c>
      <c r="G444" s="1" t="s">
        <v>798</v>
      </c>
      <c r="H444" s="1" t="s">
        <v>805</v>
      </c>
      <c r="I444" s="10" t="s">
        <v>811</v>
      </c>
      <c r="J444" s="1" t="s">
        <v>819</v>
      </c>
      <c r="K444" s="24">
        <v>8</v>
      </c>
      <c r="L444" s="25">
        <v>4</v>
      </c>
      <c r="M444" s="16">
        <v>2469</v>
      </c>
      <c r="N444" s="16">
        <v>11752.44</v>
      </c>
      <c r="O444" s="15">
        <v>1876.4400000000005</v>
      </c>
    </row>
    <row r="445" spans="1:15" x14ac:dyDescent="0.3">
      <c r="A445" s="2" t="s">
        <v>453</v>
      </c>
      <c r="B445" s="1" t="s">
        <v>764</v>
      </c>
      <c r="C445" s="6" t="str">
        <f t="shared" si="6"/>
        <v>November</v>
      </c>
      <c r="D445" s="1" t="s">
        <v>784</v>
      </c>
      <c r="E445" s="1" t="s">
        <v>791</v>
      </c>
      <c r="F445" s="1" t="s">
        <v>794</v>
      </c>
      <c r="G445" s="1" t="s">
        <v>797</v>
      </c>
      <c r="H445" s="1" t="s">
        <v>808</v>
      </c>
      <c r="I445" s="10" t="s">
        <v>815</v>
      </c>
      <c r="J445" s="1" t="s">
        <v>816</v>
      </c>
      <c r="K445" s="24">
        <v>1</v>
      </c>
      <c r="L445" s="25">
        <v>18</v>
      </c>
      <c r="M445" s="16">
        <v>880</v>
      </c>
      <c r="N445" s="16">
        <v>18216</v>
      </c>
      <c r="O445" s="15">
        <v>2376</v>
      </c>
    </row>
    <row r="446" spans="1:15" x14ac:dyDescent="0.3">
      <c r="A446" s="2" t="s">
        <v>454</v>
      </c>
      <c r="B446" s="1" t="s">
        <v>576</v>
      </c>
      <c r="C446" s="6" t="str">
        <f t="shared" si="6"/>
        <v>November</v>
      </c>
      <c r="D446" s="1" t="s">
        <v>788</v>
      </c>
      <c r="E446" s="1" t="s">
        <v>790</v>
      </c>
      <c r="F446" s="1" t="s">
        <v>794</v>
      </c>
      <c r="G446" s="1" t="s">
        <v>797</v>
      </c>
      <c r="H446" s="1" t="s">
        <v>808</v>
      </c>
      <c r="I446" s="10" t="s">
        <v>815</v>
      </c>
      <c r="J446" s="1" t="s">
        <v>820</v>
      </c>
      <c r="K446" s="24">
        <v>34</v>
      </c>
      <c r="L446" s="25">
        <v>6</v>
      </c>
      <c r="M446" s="16">
        <v>4449</v>
      </c>
      <c r="N446" s="16">
        <v>30698.1</v>
      </c>
      <c r="O446" s="15">
        <v>4004.0999999999985</v>
      </c>
    </row>
    <row r="447" spans="1:15" x14ac:dyDescent="0.3">
      <c r="A447" s="2" t="s">
        <v>455</v>
      </c>
      <c r="B447" s="1" t="s">
        <v>632</v>
      </c>
      <c r="C447" s="6" t="str">
        <f t="shared" si="6"/>
        <v>August</v>
      </c>
      <c r="D447" s="1" t="s">
        <v>787</v>
      </c>
      <c r="E447" s="1" t="s">
        <v>792</v>
      </c>
      <c r="F447" s="1" t="s">
        <v>795</v>
      </c>
      <c r="G447" s="1" t="s">
        <v>798</v>
      </c>
      <c r="H447" s="1" t="s">
        <v>805</v>
      </c>
      <c r="I447" s="10" t="s">
        <v>811</v>
      </c>
      <c r="J447" s="1" t="s">
        <v>816</v>
      </c>
      <c r="K447" s="24">
        <v>31</v>
      </c>
      <c r="L447" s="25">
        <v>12</v>
      </c>
      <c r="M447" s="16">
        <v>3995</v>
      </c>
      <c r="N447" s="16">
        <v>57048.6</v>
      </c>
      <c r="O447" s="15">
        <v>9108.5999999999985</v>
      </c>
    </row>
    <row r="448" spans="1:15" x14ac:dyDescent="0.3">
      <c r="A448" s="2" t="s">
        <v>456</v>
      </c>
      <c r="B448" s="1" t="s">
        <v>626</v>
      </c>
      <c r="C448" s="6" t="str">
        <f t="shared" si="6"/>
        <v>June</v>
      </c>
      <c r="D448" s="1" t="s">
        <v>789</v>
      </c>
      <c r="E448" s="1" t="s">
        <v>792</v>
      </c>
      <c r="F448" s="1" t="s">
        <v>795</v>
      </c>
      <c r="G448" s="1" t="s">
        <v>798</v>
      </c>
      <c r="H448" s="1" t="s">
        <v>805</v>
      </c>
      <c r="I448" s="10" t="s">
        <v>811</v>
      </c>
      <c r="J448" s="1" t="s">
        <v>820</v>
      </c>
      <c r="K448" s="24">
        <v>34</v>
      </c>
      <c r="L448" s="25">
        <v>15</v>
      </c>
      <c r="M448" s="16">
        <v>3099</v>
      </c>
      <c r="N448" s="16">
        <v>55317.15</v>
      </c>
      <c r="O448" s="15">
        <v>8832.1500000000015</v>
      </c>
    </row>
    <row r="449" spans="1:15" x14ac:dyDescent="0.3">
      <c r="A449" s="2" t="s">
        <v>457</v>
      </c>
      <c r="B449" s="1" t="s">
        <v>675</v>
      </c>
      <c r="C449" s="6" t="str">
        <f t="shared" si="6"/>
        <v>April</v>
      </c>
      <c r="D449" s="1" t="s">
        <v>786</v>
      </c>
      <c r="E449" s="1" t="s">
        <v>790</v>
      </c>
      <c r="F449" s="1" t="s">
        <v>796</v>
      </c>
      <c r="G449" s="1" t="s">
        <v>799</v>
      </c>
      <c r="H449" s="1" t="s">
        <v>804</v>
      </c>
      <c r="I449" s="10" t="s">
        <v>814</v>
      </c>
      <c r="J449" s="1" t="s">
        <v>819</v>
      </c>
      <c r="K449" s="24">
        <v>99</v>
      </c>
      <c r="L449" s="25">
        <v>20</v>
      </c>
      <c r="M449" s="16">
        <v>489800</v>
      </c>
      <c r="N449" s="16">
        <v>11951120</v>
      </c>
      <c r="O449" s="15">
        <v>2155120</v>
      </c>
    </row>
    <row r="450" spans="1:15" x14ac:dyDescent="0.3">
      <c r="A450" s="2" t="s">
        <v>458</v>
      </c>
      <c r="B450" s="1" t="s">
        <v>765</v>
      </c>
      <c r="C450" s="6" t="str">
        <f t="shared" si="6"/>
        <v>April</v>
      </c>
      <c r="D450" s="1" t="s">
        <v>788</v>
      </c>
      <c r="E450" s="1" t="s">
        <v>791</v>
      </c>
      <c r="F450" s="1" t="s">
        <v>795</v>
      </c>
      <c r="G450" s="1" t="s">
        <v>803</v>
      </c>
      <c r="H450" s="1" t="s">
        <v>807</v>
      </c>
      <c r="I450" s="10" t="s">
        <v>811</v>
      </c>
      <c r="J450" s="1" t="s">
        <v>819</v>
      </c>
      <c r="K450" s="24">
        <v>26</v>
      </c>
      <c r="L450" s="25">
        <v>14</v>
      </c>
      <c r="M450" s="16">
        <v>19200</v>
      </c>
      <c r="N450" s="16">
        <v>319872</v>
      </c>
      <c r="O450" s="15">
        <v>51072</v>
      </c>
    </row>
    <row r="451" spans="1:15" x14ac:dyDescent="0.3">
      <c r="A451" s="2" t="s">
        <v>459</v>
      </c>
      <c r="B451" s="1" t="s">
        <v>690</v>
      </c>
      <c r="C451" s="6" t="str">
        <f t="shared" ref="C451:C501" si="7">TEXT(B451, "mmmm")</f>
        <v>November</v>
      </c>
      <c r="D451" s="1" t="s">
        <v>786</v>
      </c>
      <c r="E451" s="1" t="s">
        <v>793</v>
      </c>
      <c r="F451" s="1" t="s">
        <v>796</v>
      </c>
      <c r="G451" s="1" t="s">
        <v>800</v>
      </c>
      <c r="H451" s="1" t="s">
        <v>810</v>
      </c>
      <c r="I451" s="10" t="s">
        <v>812</v>
      </c>
      <c r="J451" s="1" t="s">
        <v>820</v>
      </c>
      <c r="K451" s="24">
        <v>24</v>
      </c>
      <c r="L451" s="25">
        <v>17</v>
      </c>
      <c r="M451" s="16">
        <v>146400</v>
      </c>
      <c r="N451" s="16">
        <v>3036336</v>
      </c>
      <c r="O451" s="15">
        <v>547536</v>
      </c>
    </row>
    <row r="452" spans="1:15" x14ac:dyDescent="0.3">
      <c r="A452" s="2" t="s">
        <v>460</v>
      </c>
      <c r="B452" s="1" t="s">
        <v>566</v>
      </c>
      <c r="C452" s="6" t="str">
        <f t="shared" si="7"/>
        <v>December</v>
      </c>
      <c r="D452" s="1" t="s">
        <v>788</v>
      </c>
      <c r="E452" s="1" t="s">
        <v>792</v>
      </c>
      <c r="F452" s="1" t="s">
        <v>795</v>
      </c>
      <c r="G452" s="1" t="s">
        <v>798</v>
      </c>
      <c r="H452" s="1" t="s">
        <v>805</v>
      </c>
      <c r="I452" s="10" t="s">
        <v>811</v>
      </c>
      <c r="J452" s="1" t="s">
        <v>817</v>
      </c>
      <c r="K452" s="24">
        <v>95</v>
      </c>
      <c r="L452" s="25">
        <v>7</v>
      </c>
      <c r="M452" s="16">
        <v>3145</v>
      </c>
      <c r="N452" s="16">
        <v>26197.85</v>
      </c>
      <c r="O452" s="15">
        <v>4182.8499999999985</v>
      </c>
    </row>
    <row r="453" spans="1:15" x14ac:dyDescent="0.3">
      <c r="A453" s="2" t="s">
        <v>461</v>
      </c>
      <c r="B453" s="1" t="s">
        <v>563</v>
      </c>
      <c r="C453" s="6" t="str">
        <f t="shared" si="7"/>
        <v>May</v>
      </c>
      <c r="D453" s="1" t="s">
        <v>788</v>
      </c>
      <c r="E453" s="1" t="s">
        <v>790</v>
      </c>
      <c r="F453" s="1" t="s">
        <v>796</v>
      </c>
      <c r="G453" s="1" t="s">
        <v>800</v>
      </c>
      <c r="H453" s="1" t="s">
        <v>810</v>
      </c>
      <c r="I453" s="10" t="s">
        <v>812</v>
      </c>
      <c r="J453" s="1" t="s">
        <v>816</v>
      </c>
      <c r="K453" s="24">
        <v>68</v>
      </c>
      <c r="L453" s="25">
        <v>19</v>
      </c>
      <c r="M453" s="16">
        <v>143640</v>
      </c>
      <c r="N453" s="16">
        <v>3329575.2</v>
      </c>
      <c r="O453" s="15">
        <v>600415.20000000019</v>
      </c>
    </row>
    <row r="454" spans="1:15" x14ac:dyDescent="0.3">
      <c r="A454" s="2" t="s">
        <v>462</v>
      </c>
      <c r="B454" s="1" t="s">
        <v>766</v>
      </c>
      <c r="C454" s="6" t="str">
        <f t="shared" si="7"/>
        <v>December</v>
      </c>
      <c r="D454" s="1" t="s">
        <v>787</v>
      </c>
      <c r="E454" s="1" t="s">
        <v>791</v>
      </c>
      <c r="F454" s="1" t="s">
        <v>795</v>
      </c>
      <c r="G454" s="1" t="s">
        <v>803</v>
      </c>
      <c r="H454" s="1" t="s">
        <v>807</v>
      </c>
      <c r="I454" s="10" t="s">
        <v>811</v>
      </c>
      <c r="J454" s="1" t="s">
        <v>816</v>
      </c>
      <c r="K454" s="24">
        <v>32</v>
      </c>
      <c r="L454" s="25">
        <v>17</v>
      </c>
      <c r="M454" s="16">
        <v>41020</v>
      </c>
      <c r="N454" s="16">
        <v>829834.6</v>
      </c>
      <c r="O454" s="15">
        <v>132494.59999999998</v>
      </c>
    </row>
    <row r="455" spans="1:15" x14ac:dyDescent="0.3">
      <c r="A455" s="2" t="s">
        <v>463</v>
      </c>
      <c r="B455" s="1" t="s">
        <v>767</v>
      </c>
      <c r="C455" s="6" t="str">
        <f t="shared" si="7"/>
        <v>November</v>
      </c>
      <c r="D455" s="1" t="s">
        <v>787</v>
      </c>
      <c r="E455" s="1" t="s">
        <v>790</v>
      </c>
      <c r="F455" s="1" t="s">
        <v>794</v>
      </c>
      <c r="G455" s="1" t="s">
        <v>801</v>
      </c>
      <c r="H455" s="1" t="s">
        <v>806</v>
      </c>
      <c r="I455" s="10" t="s">
        <v>813</v>
      </c>
      <c r="J455" s="1" t="s">
        <v>817</v>
      </c>
      <c r="K455" s="24">
        <v>3</v>
      </c>
      <c r="L455" s="25">
        <v>4</v>
      </c>
      <c r="M455" s="16">
        <v>1000</v>
      </c>
      <c r="N455" s="16">
        <v>4600</v>
      </c>
      <c r="O455" s="15">
        <v>600</v>
      </c>
    </row>
    <row r="456" spans="1:15" x14ac:dyDescent="0.3">
      <c r="A456" s="2" t="s">
        <v>464</v>
      </c>
      <c r="B456" s="1" t="s">
        <v>719</v>
      </c>
      <c r="C456" s="6" t="str">
        <f t="shared" si="7"/>
        <v>August</v>
      </c>
      <c r="D456" s="1" t="s">
        <v>786</v>
      </c>
      <c r="E456" s="1" t="s">
        <v>791</v>
      </c>
      <c r="F456" s="1" t="s">
        <v>795</v>
      </c>
      <c r="G456" s="1" t="s">
        <v>798</v>
      </c>
      <c r="H456" s="1" t="s">
        <v>805</v>
      </c>
      <c r="I456" s="10" t="s">
        <v>811</v>
      </c>
      <c r="J456" s="1" t="s">
        <v>816</v>
      </c>
      <c r="K456" s="24">
        <v>43</v>
      </c>
      <c r="L456" s="25">
        <v>12</v>
      </c>
      <c r="M456" s="16">
        <v>4823</v>
      </c>
      <c r="N456" s="16">
        <v>68872.44</v>
      </c>
      <c r="O456" s="15">
        <v>10996.440000000002</v>
      </c>
    </row>
    <row r="457" spans="1:15" x14ac:dyDescent="0.3">
      <c r="A457" s="2" t="s">
        <v>465</v>
      </c>
      <c r="B457" s="1" t="s">
        <v>720</v>
      </c>
      <c r="C457" s="6" t="str">
        <f t="shared" si="7"/>
        <v>February</v>
      </c>
      <c r="D457" s="1" t="s">
        <v>784</v>
      </c>
      <c r="E457" s="1" t="s">
        <v>792</v>
      </c>
      <c r="F457" s="1" t="s">
        <v>795</v>
      </c>
      <c r="G457" s="1" t="s">
        <v>803</v>
      </c>
      <c r="H457" s="1" t="s">
        <v>807</v>
      </c>
      <c r="I457" s="10" t="s">
        <v>811</v>
      </c>
      <c r="J457" s="1" t="s">
        <v>816</v>
      </c>
      <c r="K457" s="24">
        <v>11</v>
      </c>
      <c r="L457" s="25">
        <v>7</v>
      </c>
      <c r="M457" s="16">
        <v>32800</v>
      </c>
      <c r="N457" s="16">
        <v>273224</v>
      </c>
      <c r="O457" s="15">
        <v>43624</v>
      </c>
    </row>
    <row r="458" spans="1:15" x14ac:dyDescent="0.3">
      <c r="A458" s="2" t="s">
        <v>466</v>
      </c>
      <c r="B458" s="1" t="s">
        <v>593</v>
      </c>
      <c r="C458" s="6" t="str">
        <f t="shared" si="7"/>
        <v>March</v>
      </c>
      <c r="D458" s="1" t="s">
        <v>789</v>
      </c>
      <c r="E458" s="1" t="s">
        <v>791</v>
      </c>
      <c r="F458" s="1" t="s">
        <v>796</v>
      </c>
      <c r="G458" s="1" t="s">
        <v>802</v>
      </c>
      <c r="H458" s="1" t="s">
        <v>809</v>
      </c>
      <c r="I458" s="10" t="s">
        <v>812</v>
      </c>
      <c r="J458" s="1" t="s">
        <v>819</v>
      </c>
      <c r="K458" s="24">
        <v>43</v>
      </c>
      <c r="L458" s="25">
        <v>6</v>
      </c>
      <c r="M458" s="16">
        <v>39500</v>
      </c>
      <c r="N458" s="16">
        <v>289140</v>
      </c>
      <c r="O458" s="15">
        <v>52140</v>
      </c>
    </row>
    <row r="459" spans="1:15" x14ac:dyDescent="0.3">
      <c r="A459" s="2" t="s">
        <v>467</v>
      </c>
      <c r="B459" s="1" t="s">
        <v>706</v>
      </c>
      <c r="C459" s="6" t="str">
        <f t="shared" si="7"/>
        <v>June</v>
      </c>
      <c r="D459" s="1" t="s">
        <v>785</v>
      </c>
      <c r="E459" s="1" t="s">
        <v>791</v>
      </c>
      <c r="F459" s="1" t="s">
        <v>796</v>
      </c>
      <c r="G459" s="1" t="s">
        <v>802</v>
      </c>
      <c r="H459" s="1" t="s">
        <v>809</v>
      </c>
      <c r="I459" s="10" t="s">
        <v>812</v>
      </c>
      <c r="J459" s="1" t="s">
        <v>816</v>
      </c>
      <c r="K459" s="24">
        <v>77</v>
      </c>
      <c r="L459" s="25">
        <v>7</v>
      </c>
      <c r="M459" s="16">
        <v>38840</v>
      </c>
      <c r="N459" s="16">
        <v>331693.59999999998</v>
      </c>
      <c r="O459" s="15">
        <v>59813.599999999977</v>
      </c>
    </row>
    <row r="460" spans="1:15" x14ac:dyDescent="0.3">
      <c r="A460" s="2" t="s">
        <v>468</v>
      </c>
      <c r="B460" s="1" t="s">
        <v>768</v>
      </c>
      <c r="C460" s="6" t="str">
        <f t="shared" si="7"/>
        <v>September</v>
      </c>
      <c r="D460" s="1" t="s">
        <v>788</v>
      </c>
      <c r="E460" s="1" t="s">
        <v>791</v>
      </c>
      <c r="F460" s="1" t="s">
        <v>795</v>
      </c>
      <c r="G460" s="1" t="s">
        <v>798</v>
      </c>
      <c r="H460" s="1" t="s">
        <v>805</v>
      </c>
      <c r="I460" s="10" t="s">
        <v>811</v>
      </c>
      <c r="J460" s="1" t="s">
        <v>816</v>
      </c>
      <c r="K460" s="24">
        <v>33</v>
      </c>
      <c r="L460" s="25">
        <v>10</v>
      </c>
      <c r="M460" s="16">
        <v>2447</v>
      </c>
      <c r="N460" s="16">
        <v>29119.3</v>
      </c>
      <c r="O460" s="15">
        <v>4649.2999999999993</v>
      </c>
    </row>
    <row r="461" spans="1:15" x14ac:dyDescent="0.3">
      <c r="A461" s="2" t="s">
        <v>469</v>
      </c>
      <c r="B461" s="1" t="s">
        <v>762</v>
      </c>
      <c r="C461" s="6" t="str">
        <f t="shared" si="7"/>
        <v>March</v>
      </c>
      <c r="D461" s="1" t="s">
        <v>789</v>
      </c>
      <c r="E461" s="1" t="s">
        <v>792</v>
      </c>
      <c r="F461" s="1" t="s">
        <v>795</v>
      </c>
      <c r="G461" s="1" t="s">
        <v>803</v>
      </c>
      <c r="H461" s="1" t="s">
        <v>807</v>
      </c>
      <c r="I461" s="10" t="s">
        <v>811</v>
      </c>
      <c r="J461" s="1" t="s">
        <v>817</v>
      </c>
      <c r="K461" s="24">
        <v>59</v>
      </c>
      <c r="L461" s="25">
        <v>10</v>
      </c>
      <c r="M461" s="16">
        <v>24960</v>
      </c>
      <c r="N461" s="16">
        <v>297024</v>
      </c>
      <c r="O461" s="15">
        <v>47424</v>
      </c>
    </row>
    <row r="462" spans="1:15" x14ac:dyDescent="0.3">
      <c r="A462" s="2" t="s">
        <v>470</v>
      </c>
      <c r="B462" s="1" t="s">
        <v>769</v>
      </c>
      <c r="C462" s="6" t="str">
        <f t="shared" si="7"/>
        <v>June</v>
      </c>
      <c r="D462" s="1" t="s">
        <v>788</v>
      </c>
      <c r="E462" s="1" t="s">
        <v>791</v>
      </c>
      <c r="F462" s="1" t="s">
        <v>796</v>
      </c>
      <c r="G462" s="1" t="s">
        <v>799</v>
      </c>
      <c r="H462" s="1" t="s">
        <v>804</v>
      </c>
      <c r="I462" s="10" t="s">
        <v>812</v>
      </c>
      <c r="J462" s="1" t="s">
        <v>816</v>
      </c>
      <c r="K462" s="24">
        <v>54</v>
      </c>
      <c r="L462" s="25">
        <v>2</v>
      </c>
      <c r="M462" s="16">
        <v>233366</v>
      </c>
      <c r="N462" s="16">
        <v>569413.04</v>
      </c>
      <c r="O462" s="15">
        <v>102681.04000000004</v>
      </c>
    </row>
    <row r="463" spans="1:15" x14ac:dyDescent="0.3">
      <c r="A463" s="2" t="s">
        <v>471</v>
      </c>
      <c r="B463" s="1" t="s">
        <v>759</v>
      </c>
      <c r="C463" s="6" t="str">
        <f t="shared" si="7"/>
        <v>December</v>
      </c>
      <c r="D463" s="1" t="s">
        <v>787</v>
      </c>
      <c r="E463" s="1" t="s">
        <v>793</v>
      </c>
      <c r="F463" s="1" t="s">
        <v>795</v>
      </c>
      <c r="G463" s="1" t="s">
        <v>803</v>
      </c>
      <c r="H463" s="1" t="s">
        <v>807</v>
      </c>
      <c r="I463" s="10" t="s">
        <v>811</v>
      </c>
      <c r="J463" s="1" t="s">
        <v>818</v>
      </c>
      <c r="K463" s="24">
        <v>65</v>
      </c>
      <c r="L463" s="25">
        <v>10</v>
      </c>
      <c r="M463" s="16">
        <v>18390</v>
      </c>
      <c r="N463" s="16">
        <v>218841</v>
      </c>
      <c r="O463" s="15">
        <v>34941</v>
      </c>
    </row>
    <row r="464" spans="1:15" x14ac:dyDescent="0.3">
      <c r="A464" s="2" t="s">
        <v>472</v>
      </c>
      <c r="B464" s="1" t="s">
        <v>770</v>
      </c>
      <c r="C464" s="6" t="str">
        <f t="shared" si="7"/>
        <v>October</v>
      </c>
      <c r="D464" s="1" t="s">
        <v>786</v>
      </c>
      <c r="E464" s="1" t="s">
        <v>793</v>
      </c>
      <c r="F464" s="1" t="s">
        <v>796</v>
      </c>
      <c r="G464" s="1" t="s">
        <v>800</v>
      </c>
      <c r="H464" s="1" t="s">
        <v>810</v>
      </c>
      <c r="I464" s="10" t="s">
        <v>812</v>
      </c>
      <c r="J464" s="1" t="s">
        <v>820</v>
      </c>
      <c r="K464" s="24">
        <v>18</v>
      </c>
      <c r="L464" s="25">
        <v>2</v>
      </c>
      <c r="M464" s="16">
        <v>149870</v>
      </c>
      <c r="N464" s="16">
        <v>365682.8</v>
      </c>
      <c r="O464" s="15">
        <v>65942.799999999988</v>
      </c>
    </row>
    <row r="465" spans="1:15" x14ac:dyDescent="0.3">
      <c r="A465" s="2" t="s">
        <v>473</v>
      </c>
      <c r="B465" s="1" t="s">
        <v>771</v>
      </c>
      <c r="C465" s="6" t="str">
        <f t="shared" si="7"/>
        <v>February</v>
      </c>
      <c r="D465" s="1" t="s">
        <v>789</v>
      </c>
      <c r="E465" s="1" t="s">
        <v>791</v>
      </c>
      <c r="F465" s="1" t="s">
        <v>794</v>
      </c>
      <c r="G465" s="1" t="s">
        <v>801</v>
      </c>
      <c r="H465" s="1" t="s">
        <v>806</v>
      </c>
      <c r="I465" s="10" t="s">
        <v>815</v>
      </c>
      <c r="J465" s="1" t="s">
        <v>818</v>
      </c>
      <c r="K465" s="24">
        <v>73</v>
      </c>
      <c r="L465" s="25">
        <v>4</v>
      </c>
      <c r="M465" s="16">
        <v>500</v>
      </c>
      <c r="N465" s="16">
        <v>2300</v>
      </c>
      <c r="O465" s="15">
        <v>300</v>
      </c>
    </row>
    <row r="466" spans="1:15" x14ac:dyDescent="0.3">
      <c r="A466" s="2" t="s">
        <v>474</v>
      </c>
      <c r="B466" s="1" t="s">
        <v>772</v>
      </c>
      <c r="C466" s="6" t="str">
        <f t="shared" si="7"/>
        <v>February</v>
      </c>
      <c r="D466" s="1" t="s">
        <v>789</v>
      </c>
      <c r="E466" s="1" t="s">
        <v>790</v>
      </c>
      <c r="F466" s="1" t="s">
        <v>796</v>
      </c>
      <c r="G466" s="1" t="s">
        <v>800</v>
      </c>
      <c r="H466" s="1" t="s">
        <v>810</v>
      </c>
      <c r="I466" s="10" t="s">
        <v>814</v>
      </c>
      <c r="J466" s="1" t="s">
        <v>820</v>
      </c>
      <c r="K466" s="24">
        <v>49</v>
      </c>
      <c r="L466" s="25">
        <v>20</v>
      </c>
      <c r="M466" s="16">
        <v>139030</v>
      </c>
      <c r="N466" s="16">
        <v>3392332</v>
      </c>
      <c r="O466" s="15">
        <v>611732</v>
      </c>
    </row>
    <row r="467" spans="1:15" x14ac:dyDescent="0.3">
      <c r="A467" s="2" t="s">
        <v>475</v>
      </c>
      <c r="B467" s="1" t="s">
        <v>773</v>
      </c>
      <c r="C467" s="6" t="str">
        <f t="shared" si="7"/>
        <v>June</v>
      </c>
      <c r="D467" s="1" t="s">
        <v>788</v>
      </c>
      <c r="E467" s="1" t="s">
        <v>792</v>
      </c>
      <c r="F467" s="1" t="s">
        <v>794</v>
      </c>
      <c r="G467" s="1" t="s">
        <v>797</v>
      </c>
      <c r="H467" s="1" t="s">
        <v>808</v>
      </c>
      <c r="I467" s="10" t="s">
        <v>813</v>
      </c>
      <c r="J467" s="1" t="s">
        <v>818</v>
      </c>
      <c r="K467" s="24">
        <v>33</v>
      </c>
      <c r="L467" s="25">
        <v>19</v>
      </c>
      <c r="M467" s="16">
        <v>2662</v>
      </c>
      <c r="N467" s="16">
        <v>58164.7</v>
      </c>
      <c r="O467" s="15">
        <v>7586.6999999999971</v>
      </c>
    </row>
    <row r="468" spans="1:15" x14ac:dyDescent="0.3">
      <c r="A468" s="2" t="s">
        <v>476</v>
      </c>
      <c r="B468" s="1" t="s">
        <v>774</v>
      </c>
      <c r="C468" s="6" t="str">
        <f t="shared" si="7"/>
        <v>April</v>
      </c>
      <c r="D468" s="1" t="s">
        <v>787</v>
      </c>
      <c r="E468" s="1" t="s">
        <v>790</v>
      </c>
      <c r="F468" s="1" t="s">
        <v>796</v>
      </c>
      <c r="G468" s="1" t="s">
        <v>799</v>
      </c>
      <c r="H468" s="1" t="s">
        <v>804</v>
      </c>
      <c r="I468" s="10" t="s">
        <v>814</v>
      </c>
      <c r="J468" s="1" t="s">
        <v>820</v>
      </c>
      <c r="K468" s="24">
        <v>92</v>
      </c>
      <c r="L468" s="25">
        <v>19</v>
      </c>
      <c r="M468" s="16">
        <v>35687</v>
      </c>
      <c r="N468" s="16">
        <v>827224.66</v>
      </c>
      <c r="O468" s="15">
        <v>149171.66000000003</v>
      </c>
    </row>
    <row r="469" spans="1:15" x14ac:dyDescent="0.3">
      <c r="A469" s="2" t="s">
        <v>477</v>
      </c>
      <c r="B469" s="1" t="s">
        <v>708</v>
      </c>
      <c r="C469" s="6" t="str">
        <f t="shared" si="7"/>
        <v>August</v>
      </c>
      <c r="D469" s="1" t="s">
        <v>785</v>
      </c>
      <c r="E469" s="1" t="s">
        <v>791</v>
      </c>
      <c r="F469" s="1" t="s">
        <v>794</v>
      </c>
      <c r="G469" s="1" t="s">
        <v>797</v>
      </c>
      <c r="H469" s="1" t="s">
        <v>808</v>
      </c>
      <c r="I469" s="10" t="s">
        <v>815</v>
      </c>
      <c r="J469" s="1" t="s">
        <v>816</v>
      </c>
      <c r="K469" s="24">
        <v>53</v>
      </c>
      <c r="L469" s="25">
        <v>15</v>
      </c>
      <c r="M469" s="16">
        <v>2358</v>
      </c>
      <c r="N469" s="16">
        <v>40675.5</v>
      </c>
      <c r="O469" s="15">
        <v>5305.5</v>
      </c>
    </row>
    <row r="470" spans="1:15" x14ac:dyDescent="0.3">
      <c r="A470" s="2" t="s">
        <v>478</v>
      </c>
      <c r="B470" s="1" t="s">
        <v>775</v>
      </c>
      <c r="C470" s="6" t="str">
        <f t="shared" si="7"/>
        <v>June</v>
      </c>
      <c r="D470" s="1" t="s">
        <v>785</v>
      </c>
      <c r="E470" s="1" t="s">
        <v>793</v>
      </c>
      <c r="F470" s="1" t="s">
        <v>794</v>
      </c>
      <c r="G470" s="1" t="s">
        <v>797</v>
      </c>
      <c r="H470" s="1" t="s">
        <v>808</v>
      </c>
      <c r="I470" s="10" t="s">
        <v>813</v>
      </c>
      <c r="J470" s="1" t="s">
        <v>819</v>
      </c>
      <c r="K470" s="24">
        <v>14</v>
      </c>
      <c r="L470" s="25">
        <v>6</v>
      </c>
      <c r="M470" s="16">
        <v>800</v>
      </c>
      <c r="N470" s="16">
        <v>5520</v>
      </c>
      <c r="O470" s="15">
        <v>720</v>
      </c>
    </row>
    <row r="471" spans="1:15" x14ac:dyDescent="0.3">
      <c r="A471" s="2" t="s">
        <v>479</v>
      </c>
      <c r="B471" s="1" t="s">
        <v>703</v>
      </c>
      <c r="C471" s="6" t="str">
        <f t="shared" si="7"/>
        <v>June</v>
      </c>
      <c r="D471" s="1" t="s">
        <v>787</v>
      </c>
      <c r="E471" s="1" t="s">
        <v>792</v>
      </c>
      <c r="F471" s="1" t="s">
        <v>796</v>
      </c>
      <c r="G471" s="1" t="s">
        <v>799</v>
      </c>
      <c r="H471" s="1" t="s">
        <v>804</v>
      </c>
      <c r="I471" s="10" t="s">
        <v>812</v>
      </c>
      <c r="J471" s="1" t="s">
        <v>817</v>
      </c>
      <c r="K471" s="24">
        <v>66</v>
      </c>
      <c r="L471" s="25">
        <v>6</v>
      </c>
      <c r="M471" s="16">
        <v>471500</v>
      </c>
      <c r="N471" s="16">
        <v>3451380</v>
      </c>
      <c r="O471" s="15">
        <v>622380</v>
      </c>
    </row>
    <row r="472" spans="1:15" x14ac:dyDescent="0.3">
      <c r="A472" s="2" t="s">
        <v>480</v>
      </c>
      <c r="B472" s="1" t="s">
        <v>774</v>
      </c>
      <c r="C472" s="6" t="str">
        <f t="shared" si="7"/>
        <v>April</v>
      </c>
      <c r="D472" s="1" t="s">
        <v>784</v>
      </c>
      <c r="E472" s="1" t="s">
        <v>792</v>
      </c>
      <c r="F472" s="1" t="s">
        <v>796</v>
      </c>
      <c r="G472" s="1" t="s">
        <v>800</v>
      </c>
      <c r="H472" s="1" t="s">
        <v>810</v>
      </c>
      <c r="I472" s="10" t="s">
        <v>812</v>
      </c>
      <c r="J472" s="1" t="s">
        <v>820</v>
      </c>
      <c r="K472" s="24">
        <v>33</v>
      </c>
      <c r="L472" s="25">
        <v>6</v>
      </c>
      <c r="M472" s="16">
        <v>87500</v>
      </c>
      <c r="N472" s="16">
        <v>640500</v>
      </c>
      <c r="O472" s="15">
        <v>115500</v>
      </c>
    </row>
    <row r="473" spans="1:15" x14ac:dyDescent="0.3">
      <c r="A473" s="2" t="s">
        <v>481</v>
      </c>
      <c r="B473" s="1" t="s">
        <v>603</v>
      </c>
      <c r="C473" s="6" t="str">
        <f t="shared" si="7"/>
        <v>May</v>
      </c>
      <c r="D473" s="1" t="s">
        <v>786</v>
      </c>
      <c r="E473" s="1" t="s">
        <v>792</v>
      </c>
      <c r="F473" s="1" t="s">
        <v>795</v>
      </c>
      <c r="G473" s="1" t="s">
        <v>803</v>
      </c>
      <c r="H473" s="1" t="s">
        <v>807</v>
      </c>
      <c r="I473" s="10" t="s">
        <v>811</v>
      </c>
      <c r="J473" s="1" t="s">
        <v>817</v>
      </c>
      <c r="K473" s="24">
        <v>83</v>
      </c>
      <c r="L473" s="25">
        <v>5</v>
      </c>
      <c r="M473" s="16">
        <v>56660</v>
      </c>
      <c r="N473" s="16">
        <v>337127</v>
      </c>
      <c r="O473" s="15">
        <v>53827</v>
      </c>
    </row>
    <row r="474" spans="1:15" x14ac:dyDescent="0.3">
      <c r="A474" s="2" t="s">
        <v>482</v>
      </c>
      <c r="B474" s="1" t="s">
        <v>635</v>
      </c>
      <c r="C474" s="6" t="str">
        <f t="shared" si="7"/>
        <v>July</v>
      </c>
      <c r="D474" s="1" t="s">
        <v>784</v>
      </c>
      <c r="E474" s="1" t="s">
        <v>790</v>
      </c>
      <c r="F474" s="1" t="s">
        <v>796</v>
      </c>
      <c r="G474" s="1" t="s">
        <v>799</v>
      </c>
      <c r="H474" s="1" t="s">
        <v>804</v>
      </c>
      <c r="I474" s="10" t="s">
        <v>812</v>
      </c>
      <c r="J474" s="1" t="s">
        <v>819</v>
      </c>
      <c r="K474" s="24">
        <v>58</v>
      </c>
      <c r="L474" s="25">
        <v>11</v>
      </c>
      <c r="M474" s="16">
        <v>211700</v>
      </c>
      <c r="N474" s="16">
        <v>2841014</v>
      </c>
      <c r="O474" s="15">
        <v>512314</v>
      </c>
    </row>
    <row r="475" spans="1:15" x14ac:dyDescent="0.3">
      <c r="A475" s="2" t="s">
        <v>483</v>
      </c>
      <c r="B475" s="1" t="s">
        <v>573</v>
      </c>
      <c r="C475" s="6" t="str">
        <f t="shared" si="7"/>
        <v>September</v>
      </c>
      <c r="D475" s="1" t="s">
        <v>788</v>
      </c>
      <c r="E475" s="1" t="s">
        <v>792</v>
      </c>
      <c r="F475" s="1" t="s">
        <v>795</v>
      </c>
      <c r="G475" s="1" t="s">
        <v>798</v>
      </c>
      <c r="H475" s="1" t="s">
        <v>805</v>
      </c>
      <c r="I475" s="10" t="s">
        <v>811</v>
      </c>
      <c r="J475" s="1" t="s">
        <v>818</v>
      </c>
      <c r="K475" s="24">
        <v>77</v>
      </c>
      <c r="L475" s="25">
        <v>13</v>
      </c>
      <c r="M475" s="16">
        <v>4668</v>
      </c>
      <c r="N475" s="16">
        <v>72213.960000000006</v>
      </c>
      <c r="O475" s="15">
        <v>11529.960000000006</v>
      </c>
    </row>
    <row r="476" spans="1:15" x14ac:dyDescent="0.3">
      <c r="A476" s="2" t="s">
        <v>484</v>
      </c>
      <c r="B476" s="1" t="s">
        <v>599</v>
      </c>
      <c r="C476" s="6" t="str">
        <f t="shared" si="7"/>
        <v>July</v>
      </c>
      <c r="D476" s="1" t="s">
        <v>786</v>
      </c>
      <c r="E476" s="1" t="s">
        <v>793</v>
      </c>
      <c r="F476" s="1" t="s">
        <v>796</v>
      </c>
      <c r="G476" s="1" t="s">
        <v>799</v>
      </c>
      <c r="H476" s="1" t="s">
        <v>804</v>
      </c>
      <c r="I476" s="10" t="s">
        <v>812</v>
      </c>
      <c r="J476" s="1" t="s">
        <v>817</v>
      </c>
      <c r="K476" s="24">
        <v>1</v>
      </c>
      <c r="L476" s="25">
        <v>9</v>
      </c>
      <c r="M476" s="16">
        <v>486100</v>
      </c>
      <c r="N476" s="16">
        <v>5337378</v>
      </c>
      <c r="O476" s="15">
        <v>962478</v>
      </c>
    </row>
    <row r="477" spans="1:15" x14ac:dyDescent="0.3">
      <c r="A477" s="2" t="s">
        <v>485</v>
      </c>
      <c r="B477" s="1" t="s">
        <v>776</v>
      </c>
      <c r="C477" s="6" t="str">
        <f t="shared" si="7"/>
        <v>June</v>
      </c>
      <c r="D477" s="1" t="s">
        <v>785</v>
      </c>
      <c r="E477" s="1" t="s">
        <v>792</v>
      </c>
      <c r="F477" s="1" t="s">
        <v>794</v>
      </c>
      <c r="G477" s="1" t="s">
        <v>801</v>
      </c>
      <c r="H477" s="1" t="s">
        <v>806</v>
      </c>
      <c r="I477" s="10" t="s">
        <v>815</v>
      </c>
      <c r="J477" s="1" t="s">
        <v>818</v>
      </c>
      <c r="K477" s="24">
        <v>76</v>
      </c>
      <c r="L477" s="25">
        <v>8</v>
      </c>
      <c r="M477" s="16">
        <v>600</v>
      </c>
      <c r="N477" s="16">
        <v>5520</v>
      </c>
      <c r="O477" s="15">
        <v>720</v>
      </c>
    </row>
    <row r="478" spans="1:15" x14ac:dyDescent="0.3">
      <c r="A478" s="2" t="s">
        <v>486</v>
      </c>
      <c r="B478" s="1" t="s">
        <v>614</v>
      </c>
      <c r="C478" s="6" t="str">
        <f t="shared" si="7"/>
        <v>July</v>
      </c>
      <c r="D478" s="1" t="s">
        <v>785</v>
      </c>
      <c r="E478" s="1" t="s">
        <v>793</v>
      </c>
      <c r="F478" s="1" t="s">
        <v>796</v>
      </c>
      <c r="G478" s="1" t="s">
        <v>799</v>
      </c>
      <c r="H478" s="1" t="s">
        <v>804</v>
      </c>
      <c r="I478" s="10" t="s">
        <v>812</v>
      </c>
      <c r="J478" s="1" t="s">
        <v>817</v>
      </c>
      <c r="K478" s="24">
        <v>90</v>
      </c>
      <c r="L478" s="25">
        <v>17</v>
      </c>
      <c r="M478" s="16">
        <v>430100</v>
      </c>
      <c r="N478" s="16">
        <v>8920274</v>
      </c>
      <c r="O478" s="15">
        <v>1608574</v>
      </c>
    </row>
    <row r="479" spans="1:15" x14ac:dyDescent="0.3">
      <c r="A479" s="2" t="s">
        <v>487</v>
      </c>
      <c r="B479" s="1" t="s">
        <v>668</v>
      </c>
      <c r="C479" s="6" t="str">
        <f t="shared" si="7"/>
        <v>January</v>
      </c>
      <c r="D479" s="1" t="s">
        <v>788</v>
      </c>
      <c r="E479" s="1" t="s">
        <v>790</v>
      </c>
      <c r="F479" s="1" t="s">
        <v>796</v>
      </c>
      <c r="G479" s="1" t="s">
        <v>799</v>
      </c>
      <c r="H479" s="1" t="s">
        <v>804</v>
      </c>
      <c r="I479" s="10" t="s">
        <v>812</v>
      </c>
      <c r="J479" s="1" t="s">
        <v>818</v>
      </c>
      <c r="K479" s="24">
        <v>75</v>
      </c>
      <c r="L479" s="25">
        <v>17</v>
      </c>
      <c r="M479" s="16">
        <v>221100</v>
      </c>
      <c r="N479" s="16">
        <v>4585614</v>
      </c>
      <c r="O479" s="15">
        <v>826914</v>
      </c>
    </row>
    <row r="480" spans="1:15" x14ac:dyDescent="0.3">
      <c r="A480" s="2" t="s">
        <v>488</v>
      </c>
      <c r="B480" s="1" t="s">
        <v>626</v>
      </c>
      <c r="C480" s="6" t="str">
        <f t="shared" si="7"/>
        <v>June</v>
      </c>
      <c r="D480" s="1" t="s">
        <v>787</v>
      </c>
      <c r="E480" s="1" t="s">
        <v>793</v>
      </c>
      <c r="F480" s="1" t="s">
        <v>795</v>
      </c>
      <c r="G480" s="1" t="s">
        <v>798</v>
      </c>
      <c r="H480" s="1" t="s">
        <v>805</v>
      </c>
      <c r="I480" s="10" t="s">
        <v>811</v>
      </c>
      <c r="J480" s="1" t="s">
        <v>818</v>
      </c>
      <c r="K480" s="24">
        <v>55</v>
      </c>
      <c r="L480" s="25">
        <v>14</v>
      </c>
      <c r="M480" s="16">
        <v>3639</v>
      </c>
      <c r="N480" s="16">
        <v>60625.74</v>
      </c>
      <c r="O480" s="15">
        <v>9679.739999999998</v>
      </c>
    </row>
    <row r="481" spans="1:15" x14ac:dyDescent="0.3">
      <c r="A481" s="2" t="s">
        <v>489</v>
      </c>
      <c r="B481" s="1" t="s">
        <v>719</v>
      </c>
      <c r="C481" s="6" t="str">
        <f t="shared" si="7"/>
        <v>August</v>
      </c>
      <c r="D481" s="1" t="s">
        <v>786</v>
      </c>
      <c r="E481" s="1" t="s">
        <v>793</v>
      </c>
      <c r="F481" s="1" t="s">
        <v>796</v>
      </c>
      <c r="G481" s="1" t="s">
        <v>799</v>
      </c>
      <c r="H481" s="1" t="s">
        <v>804</v>
      </c>
      <c r="I481" s="10" t="s">
        <v>812</v>
      </c>
      <c r="J481" s="1" t="s">
        <v>820</v>
      </c>
      <c r="K481" s="24">
        <v>41</v>
      </c>
      <c r="L481" s="25">
        <v>17</v>
      </c>
      <c r="M481" s="16">
        <v>233355</v>
      </c>
      <c r="N481" s="16">
        <v>4839782.7</v>
      </c>
      <c r="O481" s="15">
        <v>872747.70000000019</v>
      </c>
    </row>
    <row r="482" spans="1:15" x14ac:dyDescent="0.3">
      <c r="A482" s="2" t="s">
        <v>490</v>
      </c>
      <c r="B482" s="1" t="s">
        <v>656</v>
      </c>
      <c r="C482" s="6" t="str">
        <f t="shared" si="7"/>
        <v>October</v>
      </c>
      <c r="D482" s="1" t="s">
        <v>789</v>
      </c>
      <c r="E482" s="1" t="s">
        <v>792</v>
      </c>
      <c r="F482" s="1" t="s">
        <v>796</v>
      </c>
      <c r="G482" s="1" t="s">
        <v>799</v>
      </c>
      <c r="H482" s="1" t="s">
        <v>804</v>
      </c>
      <c r="I482" s="10" t="s">
        <v>812</v>
      </c>
      <c r="J482" s="1" t="s">
        <v>816</v>
      </c>
      <c r="K482" s="24">
        <v>13</v>
      </c>
      <c r="L482" s="25">
        <v>5</v>
      </c>
      <c r="M482" s="16">
        <v>262705</v>
      </c>
      <c r="N482" s="16">
        <v>1602500.5</v>
      </c>
      <c r="O482" s="15">
        <v>288975.5</v>
      </c>
    </row>
    <row r="483" spans="1:15" x14ac:dyDescent="0.3">
      <c r="A483" s="2" t="s">
        <v>491</v>
      </c>
      <c r="B483" s="1" t="s">
        <v>777</v>
      </c>
      <c r="C483" s="6" t="str">
        <f t="shared" si="7"/>
        <v>May</v>
      </c>
      <c r="D483" s="1" t="s">
        <v>788</v>
      </c>
      <c r="E483" s="1" t="s">
        <v>793</v>
      </c>
      <c r="F483" s="1" t="s">
        <v>795</v>
      </c>
      <c r="G483" s="1" t="s">
        <v>803</v>
      </c>
      <c r="H483" s="1" t="s">
        <v>807</v>
      </c>
      <c r="I483" s="10" t="s">
        <v>811</v>
      </c>
      <c r="J483" s="1" t="s">
        <v>819</v>
      </c>
      <c r="K483" s="24">
        <v>51</v>
      </c>
      <c r="L483" s="25">
        <v>18</v>
      </c>
      <c r="M483" s="16">
        <v>22340</v>
      </c>
      <c r="N483" s="16">
        <v>478522.8</v>
      </c>
      <c r="O483" s="15">
        <v>76402.799999999988</v>
      </c>
    </row>
    <row r="484" spans="1:15" x14ac:dyDescent="0.3">
      <c r="A484" s="2" t="s">
        <v>492</v>
      </c>
      <c r="B484" s="1" t="s">
        <v>778</v>
      </c>
      <c r="C484" s="6" t="str">
        <f t="shared" si="7"/>
        <v>May</v>
      </c>
      <c r="D484" s="1" t="s">
        <v>785</v>
      </c>
      <c r="E484" s="1" t="s">
        <v>791</v>
      </c>
      <c r="F484" s="1" t="s">
        <v>795</v>
      </c>
      <c r="G484" s="1" t="s">
        <v>798</v>
      </c>
      <c r="H484" s="1" t="s">
        <v>805</v>
      </c>
      <c r="I484" s="10" t="s">
        <v>811</v>
      </c>
      <c r="J484" s="1" t="s">
        <v>818</v>
      </c>
      <c r="K484" s="24">
        <v>65</v>
      </c>
      <c r="L484" s="25">
        <v>14</v>
      </c>
      <c r="M484" s="16">
        <v>1700</v>
      </c>
      <c r="N484" s="16">
        <v>28322</v>
      </c>
      <c r="O484" s="15">
        <v>4522</v>
      </c>
    </row>
    <row r="485" spans="1:15" x14ac:dyDescent="0.3">
      <c r="A485" s="2" t="s">
        <v>493</v>
      </c>
      <c r="B485" s="1" t="s">
        <v>685</v>
      </c>
      <c r="C485" s="6" t="str">
        <f t="shared" si="7"/>
        <v>August</v>
      </c>
      <c r="D485" s="1" t="s">
        <v>788</v>
      </c>
      <c r="E485" s="1" t="s">
        <v>792</v>
      </c>
      <c r="F485" s="1" t="s">
        <v>794</v>
      </c>
      <c r="G485" s="1" t="s">
        <v>797</v>
      </c>
      <c r="H485" s="1" t="s">
        <v>808</v>
      </c>
      <c r="I485" s="10" t="s">
        <v>813</v>
      </c>
      <c r="J485" s="1" t="s">
        <v>819</v>
      </c>
      <c r="K485" s="24">
        <v>12</v>
      </c>
      <c r="L485" s="25">
        <v>2</v>
      </c>
      <c r="M485" s="16">
        <v>1313</v>
      </c>
      <c r="N485" s="16">
        <v>3019.9</v>
      </c>
      <c r="O485" s="15">
        <v>393.90000000000009</v>
      </c>
    </row>
    <row r="486" spans="1:15" x14ac:dyDescent="0.3">
      <c r="A486" s="2" t="s">
        <v>494</v>
      </c>
      <c r="B486" s="1" t="s">
        <v>756</v>
      </c>
      <c r="C486" s="6" t="str">
        <f t="shared" si="7"/>
        <v>July</v>
      </c>
      <c r="D486" s="1" t="s">
        <v>784</v>
      </c>
      <c r="E486" s="1" t="s">
        <v>790</v>
      </c>
      <c r="F486" s="1" t="s">
        <v>795</v>
      </c>
      <c r="G486" s="1" t="s">
        <v>803</v>
      </c>
      <c r="H486" s="1" t="s">
        <v>807</v>
      </c>
      <c r="I486" s="10" t="s">
        <v>811</v>
      </c>
      <c r="J486" s="1" t="s">
        <v>818</v>
      </c>
      <c r="K486" s="24">
        <v>72</v>
      </c>
      <c r="L486" s="25">
        <v>7</v>
      </c>
      <c r="M486" s="16">
        <v>40140</v>
      </c>
      <c r="N486" s="16">
        <v>334366.2</v>
      </c>
      <c r="O486" s="15">
        <v>53386.200000000012</v>
      </c>
    </row>
    <row r="487" spans="1:15" x14ac:dyDescent="0.3">
      <c r="A487" s="2" t="s">
        <v>495</v>
      </c>
      <c r="B487" s="1" t="s">
        <v>558</v>
      </c>
      <c r="C487" s="6" t="str">
        <f t="shared" si="7"/>
        <v>December</v>
      </c>
      <c r="D487" s="1" t="s">
        <v>787</v>
      </c>
      <c r="E487" s="1" t="s">
        <v>792</v>
      </c>
      <c r="F487" s="1" t="s">
        <v>796</v>
      </c>
      <c r="G487" s="1" t="s">
        <v>799</v>
      </c>
      <c r="H487" s="1" t="s">
        <v>804</v>
      </c>
      <c r="I487" s="10" t="s">
        <v>812</v>
      </c>
      <c r="J487" s="1" t="s">
        <v>820</v>
      </c>
      <c r="K487" s="24">
        <v>91</v>
      </c>
      <c r="L487" s="25">
        <v>3</v>
      </c>
      <c r="M487" s="16">
        <v>242105</v>
      </c>
      <c r="N487" s="16">
        <v>886104.3</v>
      </c>
      <c r="O487" s="15">
        <v>159789.30000000005</v>
      </c>
    </row>
    <row r="488" spans="1:15" x14ac:dyDescent="0.3">
      <c r="A488" s="2" t="s">
        <v>496</v>
      </c>
      <c r="B488" s="1" t="s">
        <v>588</v>
      </c>
      <c r="C488" s="6" t="str">
        <f t="shared" si="7"/>
        <v>January</v>
      </c>
      <c r="D488" s="1" t="s">
        <v>784</v>
      </c>
      <c r="E488" s="1" t="s">
        <v>792</v>
      </c>
      <c r="F488" s="1" t="s">
        <v>794</v>
      </c>
      <c r="G488" s="1" t="s">
        <v>797</v>
      </c>
      <c r="H488" s="1" t="s">
        <v>808</v>
      </c>
      <c r="I488" s="10" t="s">
        <v>815</v>
      </c>
      <c r="J488" s="1" t="s">
        <v>820</v>
      </c>
      <c r="K488" s="24">
        <v>99</v>
      </c>
      <c r="L488" s="25">
        <v>10</v>
      </c>
      <c r="M488" s="16">
        <v>1875</v>
      </c>
      <c r="N488" s="16">
        <v>21562.5</v>
      </c>
      <c r="O488" s="15">
        <v>2812.5</v>
      </c>
    </row>
    <row r="489" spans="1:15" x14ac:dyDescent="0.3">
      <c r="A489" s="2" t="s">
        <v>497</v>
      </c>
      <c r="B489" s="1" t="s">
        <v>779</v>
      </c>
      <c r="C489" s="6" t="str">
        <f t="shared" si="7"/>
        <v>November</v>
      </c>
      <c r="D489" s="1" t="s">
        <v>789</v>
      </c>
      <c r="E489" s="1" t="s">
        <v>791</v>
      </c>
      <c r="F489" s="1" t="s">
        <v>796</v>
      </c>
      <c r="G489" s="1" t="s">
        <v>799</v>
      </c>
      <c r="H489" s="1" t="s">
        <v>804</v>
      </c>
      <c r="I489" s="10" t="s">
        <v>812</v>
      </c>
      <c r="J489" s="1" t="s">
        <v>819</v>
      </c>
      <c r="K489" s="24">
        <v>89</v>
      </c>
      <c r="L489" s="25">
        <v>11</v>
      </c>
      <c r="M489" s="16">
        <v>321930</v>
      </c>
      <c r="N489" s="16">
        <v>4320300.5999999996</v>
      </c>
      <c r="O489" s="15">
        <v>779070.59999999963</v>
      </c>
    </row>
    <row r="490" spans="1:15" x14ac:dyDescent="0.3">
      <c r="A490" s="2" t="s">
        <v>498</v>
      </c>
      <c r="B490" s="1" t="s">
        <v>539</v>
      </c>
      <c r="C490" s="6" t="str">
        <f t="shared" si="7"/>
        <v>November</v>
      </c>
      <c r="D490" s="1" t="s">
        <v>785</v>
      </c>
      <c r="E490" s="1" t="s">
        <v>793</v>
      </c>
      <c r="F490" s="1" t="s">
        <v>796</v>
      </c>
      <c r="G490" s="1" t="s">
        <v>802</v>
      </c>
      <c r="H490" s="1" t="s">
        <v>809</v>
      </c>
      <c r="I490" s="10" t="s">
        <v>814</v>
      </c>
      <c r="J490" s="1" t="s">
        <v>820</v>
      </c>
      <c r="K490" s="24">
        <v>18</v>
      </c>
      <c r="L490" s="25">
        <v>10</v>
      </c>
      <c r="M490" s="16">
        <v>227000</v>
      </c>
      <c r="N490" s="16">
        <v>2769400</v>
      </c>
      <c r="O490" s="15">
        <v>499400</v>
      </c>
    </row>
    <row r="491" spans="1:15" x14ac:dyDescent="0.3">
      <c r="A491" s="2" t="s">
        <v>499</v>
      </c>
      <c r="B491" s="1" t="s">
        <v>780</v>
      </c>
      <c r="C491" s="6" t="str">
        <f t="shared" si="7"/>
        <v>March</v>
      </c>
      <c r="D491" s="1" t="s">
        <v>787</v>
      </c>
      <c r="E491" s="1" t="s">
        <v>791</v>
      </c>
      <c r="F491" s="1" t="s">
        <v>795</v>
      </c>
      <c r="G491" s="1" t="s">
        <v>803</v>
      </c>
      <c r="H491" s="1" t="s">
        <v>807</v>
      </c>
      <c r="I491" s="10" t="s">
        <v>811</v>
      </c>
      <c r="J491" s="1" t="s">
        <v>819</v>
      </c>
      <c r="K491" s="24">
        <v>6</v>
      </c>
      <c r="L491" s="25">
        <v>14</v>
      </c>
      <c r="M491" s="16">
        <v>34080</v>
      </c>
      <c r="N491" s="16">
        <v>567772.80000000005</v>
      </c>
      <c r="O491" s="15">
        <v>90652.800000000047</v>
      </c>
    </row>
    <row r="492" spans="1:15" x14ac:dyDescent="0.3">
      <c r="A492" s="2" t="s">
        <v>500</v>
      </c>
      <c r="B492" s="1" t="s">
        <v>781</v>
      </c>
      <c r="C492" s="6" t="str">
        <f t="shared" si="7"/>
        <v>June</v>
      </c>
      <c r="D492" s="1" t="s">
        <v>785</v>
      </c>
      <c r="E492" s="1" t="s">
        <v>793</v>
      </c>
      <c r="F492" s="1" t="s">
        <v>795</v>
      </c>
      <c r="G492" s="1" t="s">
        <v>798</v>
      </c>
      <c r="H492" s="1" t="s">
        <v>805</v>
      </c>
      <c r="I492" s="10" t="s">
        <v>811</v>
      </c>
      <c r="J492" s="1" t="s">
        <v>820</v>
      </c>
      <c r="K492" s="24">
        <v>7</v>
      </c>
      <c r="L492" s="25">
        <v>3</v>
      </c>
      <c r="M492" s="16">
        <v>2350</v>
      </c>
      <c r="N492" s="16">
        <v>8389.5</v>
      </c>
      <c r="O492" s="15">
        <v>1339.5</v>
      </c>
    </row>
    <row r="493" spans="1:15" x14ac:dyDescent="0.3">
      <c r="A493" s="2" t="s">
        <v>501</v>
      </c>
      <c r="B493" s="1" t="s">
        <v>510</v>
      </c>
      <c r="C493" s="6" t="str">
        <f t="shared" si="7"/>
        <v>October</v>
      </c>
      <c r="D493" s="1" t="s">
        <v>784</v>
      </c>
      <c r="E493" s="1" t="s">
        <v>792</v>
      </c>
      <c r="F493" s="1" t="s">
        <v>796</v>
      </c>
      <c r="G493" s="1" t="s">
        <v>799</v>
      </c>
      <c r="H493" s="1" t="s">
        <v>804</v>
      </c>
      <c r="I493" s="10" t="s">
        <v>812</v>
      </c>
      <c r="J493" s="1" t="s">
        <v>818</v>
      </c>
      <c r="K493" s="24">
        <v>35</v>
      </c>
      <c r="L493" s="25">
        <v>7</v>
      </c>
      <c r="M493" s="16">
        <v>357600</v>
      </c>
      <c r="N493" s="16">
        <v>3053904</v>
      </c>
      <c r="O493" s="15">
        <v>550704</v>
      </c>
    </row>
    <row r="494" spans="1:15" x14ac:dyDescent="0.3">
      <c r="A494" s="2" t="s">
        <v>502</v>
      </c>
      <c r="B494" s="1" t="s">
        <v>671</v>
      </c>
      <c r="C494" s="6" t="str">
        <f t="shared" si="7"/>
        <v>April</v>
      </c>
      <c r="D494" s="1" t="s">
        <v>786</v>
      </c>
      <c r="E494" s="1" t="s">
        <v>793</v>
      </c>
      <c r="F494" s="1" t="s">
        <v>796</v>
      </c>
      <c r="G494" s="1" t="s">
        <v>799</v>
      </c>
      <c r="H494" s="1" t="s">
        <v>804</v>
      </c>
      <c r="I494" s="10" t="s">
        <v>814</v>
      </c>
      <c r="J494" s="1" t="s">
        <v>819</v>
      </c>
      <c r="K494" s="24">
        <v>63</v>
      </c>
      <c r="L494" s="25">
        <v>3</v>
      </c>
      <c r="M494" s="16">
        <v>494700</v>
      </c>
      <c r="N494" s="16">
        <v>1810602</v>
      </c>
      <c r="O494" s="15">
        <v>326502</v>
      </c>
    </row>
    <row r="495" spans="1:15" x14ac:dyDescent="0.3">
      <c r="A495" s="2" t="s">
        <v>503</v>
      </c>
      <c r="B495" s="1" t="s">
        <v>569</v>
      </c>
      <c r="C495" s="6" t="str">
        <f t="shared" si="7"/>
        <v>February</v>
      </c>
      <c r="D495" s="1" t="s">
        <v>787</v>
      </c>
      <c r="E495" s="1" t="s">
        <v>791</v>
      </c>
      <c r="F495" s="1" t="s">
        <v>796</v>
      </c>
      <c r="G495" s="1" t="s">
        <v>799</v>
      </c>
      <c r="H495" s="1" t="s">
        <v>804</v>
      </c>
      <c r="I495" s="10" t="s">
        <v>814</v>
      </c>
      <c r="J495" s="1" t="s">
        <v>817</v>
      </c>
      <c r="K495" s="24">
        <v>51</v>
      </c>
      <c r="L495" s="25">
        <v>4</v>
      </c>
      <c r="M495" s="16">
        <v>26950</v>
      </c>
      <c r="N495" s="16">
        <v>131516</v>
      </c>
      <c r="O495" s="15">
        <v>23716</v>
      </c>
    </row>
    <row r="496" spans="1:15" x14ac:dyDescent="0.3">
      <c r="A496" s="2" t="s">
        <v>504</v>
      </c>
      <c r="B496" s="1" t="s">
        <v>600</v>
      </c>
      <c r="C496" s="6" t="str">
        <f t="shared" si="7"/>
        <v>December</v>
      </c>
      <c r="D496" s="1" t="s">
        <v>784</v>
      </c>
      <c r="E496" s="1" t="s">
        <v>791</v>
      </c>
      <c r="F496" s="1" t="s">
        <v>794</v>
      </c>
      <c r="G496" s="1" t="s">
        <v>797</v>
      </c>
      <c r="H496" s="1" t="s">
        <v>808</v>
      </c>
      <c r="I496" s="10" t="s">
        <v>815</v>
      </c>
      <c r="J496" s="1" t="s">
        <v>820</v>
      </c>
      <c r="K496" s="24">
        <v>93</v>
      </c>
      <c r="L496" s="25">
        <v>4</v>
      </c>
      <c r="M496" s="16">
        <v>3788</v>
      </c>
      <c r="N496" s="16">
        <v>17424.8</v>
      </c>
      <c r="O496" s="15">
        <v>2272.7999999999993</v>
      </c>
    </row>
    <row r="497" spans="1:15" x14ac:dyDescent="0.3">
      <c r="A497" s="2" t="s">
        <v>505</v>
      </c>
      <c r="B497" s="1" t="s">
        <v>782</v>
      </c>
      <c r="C497" s="6" t="str">
        <f t="shared" si="7"/>
        <v>May</v>
      </c>
      <c r="D497" s="1" t="s">
        <v>787</v>
      </c>
      <c r="E497" s="1" t="s">
        <v>793</v>
      </c>
      <c r="F497" s="1" t="s">
        <v>795</v>
      </c>
      <c r="G497" s="1" t="s">
        <v>798</v>
      </c>
      <c r="H497" s="1" t="s">
        <v>805</v>
      </c>
      <c r="I497" s="10" t="s">
        <v>811</v>
      </c>
      <c r="J497" s="1" t="s">
        <v>817</v>
      </c>
      <c r="K497" s="24">
        <v>91</v>
      </c>
      <c r="L497" s="25">
        <v>8</v>
      </c>
      <c r="M497" s="16">
        <v>1227</v>
      </c>
      <c r="N497" s="16">
        <v>11681.04</v>
      </c>
      <c r="O497" s="15">
        <v>1865.0400000000009</v>
      </c>
    </row>
    <row r="498" spans="1:15" x14ac:dyDescent="0.3">
      <c r="A498" s="2" t="s">
        <v>506</v>
      </c>
      <c r="B498" s="1" t="s">
        <v>783</v>
      </c>
      <c r="C498" s="6" t="str">
        <f t="shared" si="7"/>
        <v>September</v>
      </c>
      <c r="D498" s="1" t="s">
        <v>785</v>
      </c>
      <c r="E498" s="1" t="s">
        <v>790</v>
      </c>
      <c r="F498" s="1" t="s">
        <v>796</v>
      </c>
      <c r="G498" s="1" t="s">
        <v>802</v>
      </c>
      <c r="H498" s="1" t="s">
        <v>809</v>
      </c>
      <c r="I498" s="10" t="s">
        <v>814</v>
      </c>
      <c r="J498" s="1" t="s">
        <v>817</v>
      </c>
      <c r="K498" s="24">
        <v>80</v>
      </c>
      <c r="L498" s="25">
        <v>10</v>
      </c>
      <c r="M498" s="16">
        <v>309600</v>
      </c>
      <c r="N498" s="16">
        <v>3777120</v>
      </c>
      <c r="O498" s="15">
        <v>681120</v>
      </c>
    </row>
    <row r="499" spans="1:15" x14ac:dyDescent="0.3">
      <c r="A499" s="2" t="s">
        <v>507</v>
      </c>
      <c r="B499" s="1" t="s">
        <v>568</v>
      </c>
      <c r="C499" s="6" t="str">
        <f t="shared" si="7"/>
        <v>January</v>
      </c>
      <c r="D499" s="1" t="s">
        <v>784</v>
      </c>
      <c r="E499" s="1" t="s">
        <v>790</v>
      </c>
      <c r="F499" s="1" t="s">
        <v>796</v>
      </c>
      <c r="G499" s="1" t="s">
        <v>802</v>
      </c>
      <c r="H499" s="1" t="s">
        <v>809</v>
      </c>
      <c r="I499" s="10" t="s">
        <v>814</v>
      </c>
      <c r="J499" s="1" t="s">
        <v>819</v>
      </c>
      <c r="K499" s="24">
        <v>22</v>
      </c>
      <c r="L499" s="25">
        <v>4</v>
      </c>
      <c r="M499" s="16">
        <v>142200</v>
      </c>
      <c r="N499" s="16">
        <v>693936</v>
      </c>
      <c r="O499" s="15">
        <v>125136</v>
      </c>
    </row>
    <row r="500" spans="1:15" x14ac:dyDescent="0.3">
      <c r="A500" s="2" t="s">
        <v>508</v>
      </c>
      <c r="B500" s="1" t="s">
        <v>510</v>
      </c>
      <c r="C500" s="6" t="str">
        <f t="shared" si="7"/>
        <v>October</v>
      </c>
      <c r="D500" s="1" t="s">
        <v>788</v>
      </c>
      <c r="E500" s="1" t="s">
        <v>791</v>
      </c>
      <c r="F500" s="1" t="s">
        <v>795</v>
      </c>
      <c r="G500" s="1" t="s">
        <v>798</v>
      </c>
      <c r="H500" s="1" t="s">
        <v>805</v>
      </c>
      <c r="I500" s="10" t="s">
        <v>811</v>
      </c>
      <c r="J500" s="1" t="s">
        <v>817</v>
      </c>
      <c r="K500" s="24">
        <v>63</v>
      </c>
      <c r="L500" s="25">
        <v>6</v>
      </c>
      <c r="M500" s="16">
        <v>3648</v>
      </c>
      <c r="N500" s="16">
        <v>26046.720000000001</v>
      </c>
      <c r="O500" s="15">
        <v>4158.7200000000012</v>
      </c>
    </row>
    <row r="501" spans="1:15" ht="15" thickBot="1" x14ac:dyDescent="0.35">
      <c r="A501" s="3" t="s">
        <v>509</v>
      </c>
      <c r="B501" s="4" t="s">
        <v>697</v>
      </c>
      <c r="C501" s="3" t="str">
        <f t="shared" si="7"/>
        <v>November</v>
      </c>
      <c r="D501" s="4" t="s">
        <v>787</v>
      </c>
      <c r="E501" s="4" t="s">
        <v>793</v>
      </c>
      <c r="F501" s="4" t="s">
        <v>796</v>
      </c>
      <c r="G501" s="4" t="s">
        <v>799</v>
      </c>
      <c r="H501" s="4" t="s">
        <v>804</v>
      </c>
      <c r="I501" s="11" t="s">
        <v>814</v>
      </c>
      <c r="J501" s="4" t="s">
        <v>820</v>
      </c>
      <c r="K501" s="26">
        <v>76</v>
      </c>
      <c r="L501" s="27">
        <v>4</v>
      </c>
      <c r="M501" s="17">
        <v>478300</v>
      </c>
      <c r="N501" s="17">
        <v>2334104</v>
      </c>
      <c r="O501" s="18">
        <v>420904</v>
      </c>
    </row>
  </sheetData>
  <autoFilter ref="A1:O50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0950-6C90-4C0C-8FA1-15C3256547E9}">
  <dimension ref="B2:M37"/>
  <sheetViews>
    <sheetView topLeftCell="A16" workbookViewId="0">
      <selection activeCell="K29" sqref="K29"/>
    </sheetView>
  </sheetViews>
  <sheetFormatPr defaultRowHeight="14.4" x14ac:dyDescent="0.3"/>
  <cols>
    <col min="2" max="2" width="18.88671875" bestFit="1" customWidth="1"/>
    <col min="3" max="3" width="12.5546875" bestFit="1" customWidth="1"/>
    <col min="4" max="4" width="12.109375" bestFit="1" customWidth="1"/>
    <col min="6" max="6" width="12.5546875" bestFit="1" customWidth="1"/>
    <col min="7" max="7" width="13.6640625" bestFit="1" customWidth="1"/>
    <col min="8" max="8" width="12.109375" bestFit="1" customWidth="1"/>
    <col min="9" max="9" width="18.77734375" bestFit="1" customWidth="1"/>
    <col min="10" max="10" width="12.88671875" bestFit="1" customWidth="1"/>
    <col min="11" max="11" width="14.44140625" bestFit="1" customWidth="1"/>
    <col min="12" max="12" width="12.5546875" bestFit="1" customWidth="1"/>
    <col min="13" max="13" width="11.5546875" bestFit="1" customWidth="1"/>
  </cols>
  <sheetData>
    <row r="2" spans="2:13" x14ac:dyDescent="0.3">
      <c r="B2" s="29" t="s">
        <v>828</v>
      </c>
      <c r="C2" t="s">
        <v>826</v>
      </c>
      <c r="D2" t="s">
        <v>827</v>
      </c>
      <c r="F2" s="29" t="s">
        <v>830</v>
      </c>
      <c r="G2" t="s">
        <v>833</v>
      </c>
      <c r="H2" t="s">
        <v>827</v>
      </c>
      <c r="J2" s="29" t="s">
        <v>9</v>
      </c>
      <c r="K2" t="s">
        <v>831</v>
      </c>
      <c r="L2" t="s">
        <v>832</v>
      </c>
    </row>
    <row r="3" spans="2:13" x14ac:dyDescent="0.3">
      <c r="B3" s="8" t="s">
        <v>786</v>
      </c>
      <c r="C3" s="19">
        <v>73034366.300000012</v>
      </c>
      <c r="D3" s="19">
        <v>13005174.300000004</v>
      </c>
      <c r="F3" s="8" t="s">
        <v>815</v>
      </c>
      <c r="G3" s="19">
        <v>2141595.5499999998</v>
      </c>
      <c r="H3" s="19">
        <v>279338.54999999993</v>
      </c>
      <c r="J3" s="8" t="s">
        <v>818</v>
      </c>
      <c r="K3" s="19">
        <v>62253482.230000004</v>
      </c>
      <c r="L3" s="19">
        <v>11058093.23</v>
      </c>
    </row>
    <row r="4" spans="2:13" x14ac:dyDescent="0.3">
      <c r="B4" s="8" t="s">
        <v>788</v>
      </c>
      <c r="C4" s="19">
        <v>64420192.179999992</v>
      </c>
      <c r="D4" s="19">
        <v>11458562.18</v>
      </c>
      <c r="F4" s="8" t="s">
        <v>812</v>
      </c>
      <c r="G4" s="19">
        <v>176124316.68000001</v>
      </c>
      <c r="H4" s="19">
        <v>31760122.68</v>
      </c>
      <c r="J4" s="8" t="s">
        <v>816</v>
      </c>
      <c r="K4" s="19">
        <v>57933146.960000001</v>
      </c>
      <c r="L4" s="19">
        <v>10240973.960000001</v>
      </c>
    </row>
    <row r="5" spans="2:13" x14ac:dyDescent="0.3">
      <c r="B5" s="8" t="s">
        <v>784</v>
      </c>
      <c r="C5" s="19">
        <v>60748395.150000013</v>
      </c>
      <c r="D5" s="19">
        <v>10814192.150000002</v>
      </c>
      <c r="F5" s="8" t="s">
        <v>811</v>
      </c>
      <c r="G5" s="19">
        <v>30915019.520000003</v>
      </c>
      <c r="H5" s="19">
        <v>4936011.5200000005</v>
      </c>
      <c r="J5" s="8" t="s">
        <v>819</v>
      </c>
      <c r="K5" s="19">
        <v>86463476.789999962</v>
      </c>
      <c r="L5" s="19">
        <v>15395022.790000005</v>
      </c>
    </row>
    <row r="6" spans="2:13" x14ac:dyDescent="0.3">
      <c r="B6" s="8" t="s">
        <v>789</v>
      </c>
      <c r="C6" s="19">
        <v>57816984.660000004</v>
      </c>
      <c r="D6" s="19">
        <v>10296759.66</v>
      </c>
      <c r="F6" s="8" t="s">
        <v>813</v>
      </c>
      <c r="G6" s="19">
        <v>1953845.3999999994</v>
      </c>
      <c r="H6" s="19">
        <v>254849.40000000005</v>
      </c>
      <c r="J6" s="8" t="s">
        <v>817</v>
      </c>
      <c r="K6" s="19">
        <v>71370338.790000007</v>
      </c>
      <c r="L6" s="19">
        <v>12699782.789999999</v>
      </c>
    </row>
    <row r="7" spans="2:13" x14ac:dyDescent="0.3">
      <c r="B7" s="8" t="s">
        <v>785</v>
      </c>
      <c r="C7" s="19">
        <v>42281915.63000001</v>
      </c>
      <c r="D7" s="19">
        <v>7511191.629999999</v>
      </c>
      <c r="F7" s="8" t="s">
        <v>814</v>
      </c>
      <c r="G7" s="19">
        <v>138972882.78</v>
      </c>
      <c r="H7" s="19">
        <v>25060683.780000005</v>
      </c>
      <c r="J7" s="8" t="s">
        <v>820</v>
      </c>
      <c r="K7" s="19">
        <v>72087215.159999982</v>
      </c>
      <c r="L7" s="19">
        <v>12897133.160000004</v>
      </c>
    </row>
    <row r="8" spans="2:13" x14ac:dyDescent="0.3">
      <c r="B8" s="8" t="s">
        <v>787</v>
      </c>
      <c r="C8" s="19">
        <v>51805806.00999999</v>
      </c>
      <c r="D8" s="19">
        <v>9205126.0099999998</v>
      </c>
      <c r="F8" s="8" t="s">
        <v>825</v>
      </c>
      <c r="G8" s="19">
        <v>350107659.93000007</v>
      </c>
      <c r="H8" s="19">
        <v>62291005.930000007</v>
      </c>
      <c r="J8" s="8" t="s">
        <v>825</v>
      </c>
      <c r="K8" s="19">
        <v>350107659.92999995</v>
      </c>
      <c r="L8" s="19">
        <v>62291005.930000007</v>
      </c>
    </row>
    <row r="9" spans="2:13" x14ac:dyDescent="0.3">
      <c r="B9" s="8" t="s">
        <v>825</v>
      </c>
      <c r="C9" s="19">
        <v>350107659.93000001</v>
      </c>
      <c r="D9" s="19">
        <v>62291005.93</v>
      </c>
    </row>
    <row r="10" spans="2:13" x14ac:dyDescent="0.3">
      <c r="B10" s="8"/>
      <c r="C10" s="19"/>
      <c r="D10" s="19"/>
      <c r="F10" s="29" t="s">
        <v>834</v>
      </c>
      <c r="G10" t="s">
        <v>826</v>
      </c>
      <c r="H10" t="s">
        <v>827</v>
      </c>
      <c r="J10" s="29" t="s">
        <v>7</v>
      </c>
      <c r="K10" t="s">
        <v>835</v>
      </c>
      <c r="L10" t="s">
        <v>836</v>
      </c>
      <c r="M10" t="s">
        <v>832</v>
      </c>
    </row>
    <row r="11" spans="2:13" x14ac:dyDescent="0.3">
      <c r="B11" s="29" t="s">
        <v>829</v>
      </c>
      <c r="C11" t="s">
        <v>826</v>
      </c>
      <c r="D11" t="s">
        <v>827</v>
      </c>
      <c r="F11" s="8" t="s">
        <v>791</v>
      </c>
      <c r="G11" s="19">
        <v>69506434.039999992</v>
      </c>
      <c r="H11" s="19">
        <v>12301886.040000007</v>
      </c>
      <c r="J11" s="8" t="s">
        <v>810</v>
      </c>
      <c r="K11" s="28">
        <v>588</v>
      </c>
      <c r="L11" s="19">
        <v>117824525.59999998</v>
      </c>
      <c r="M11" s="19">
        <v>21247045.599999998</v>
      </c>
    </row>
    <row r="12" spans="2:13" x14ac:dyDescent="0.3">
      <c r="B12" s="8" t="s">
        <v>810</v>
      </c>
      <c r="C12" s="19">
        <v>117824525.59999998</v>
      </c>
      <c r="D12" s="19">
        <v>21247045.599999998</v>
      </c>
      <c r="F12" s="8" t="s">
        <v>792</v>
      </c>
      <c r="G12" s="19">
        <v>67646276.520000011</v>
      </c>
      <c r="H12" s="19">
        <v>11922152.520000001</v>
      </c>
      <c r="J12" s="8" t="s">
        <v>808</v>
      </c>
      <c r="K12" s="28">
        <v>764</v>
      </c>
      <c r="L12" s="19">
        <v>2028069.8499999999</v>
      </c>
      <c r="M12" s="19">
        <v>264530.84999999992</v>
      </c>
    </row>
    <row r="13" spans="2:13" x14ac:dyDescent="0.3">
      <c r="B13" s="8" t="s">
        <v>808</v>
      </c>
      <c r="C13" s="19">
        <v>2028069.8499999999</v>
      </c>
      <c r="D13" s="19">
        <v>264530.84999999992</v>
      </c>
      <c r="F13" s="8" t="s">
        <v>790</v>
      </c>
      <c r="G13" s="19">
        <v>122394091.92</v>
      </c>
      <c r="H13" s="19">
        <v>21934651.919999998</v>
      </c>
      <c r="J13" s="8" t="s">
        <v>804</v>
      </c>
      <c r="K13" s="28">
        <v>863</v>
      </c>
      <c r="L13" s="19">
        <v>135004154.46000001</v>
      </c>
      <c r="M13" s="19">
        <v>24345011.460000001</v>
      </c>
    </row>
    <row r="14" spans="2:13" x14ac:dyDescent="0.3">
      <c r="B14" s="8" t="s">
        <v>804</v>
      </c>
      <c r="C14" s="19">
        <v>135004154.46000001</v>
      </c>
      <c r="D14" s="19">
        <v>24345011.460000001</v>
      </c>
      <c r="F14" s="8" t="s">
        <v>793</v>
      </c>
      <c r="G14" s="19">
        <v>90560857.450000003</v>
      </c>
      <c r="H14" s="19">
        <v>16132315.449999999</v>
      </c>
      <c r="J14" s="8" t="s">
        <v>805</v>
      </c>
      <c r="K14" s="28">
        <v>748</v>
      </c>
      <c r="L14" s="19">
        <v>2523023.7199999997</v>
      </c>
      <c r="M14" s="19">
        <v>402835.72</v>
      </c>
    </row>
    <row r="15" spans="2:13" x14ac:dyDescent="0.3">
      <c r="B15" s="8" t="s">
        <v>805</v>
      </c>
      <c r="C15" s="19">
        <v>2523023.7199999997</v>
      </c>
      <c r="D15" s="19">
        <v>402835.72</v>
      </c>
      <c r="F15" s="8" t="s">
        <v>825</v>
      </c>
      <c r="G15" s="19">
        <v>350107659.93000001</v>
      </c>
      <c r="H15" s="19">
        <v>62291005.930000007</v>
      </c>
      <c r="J15" s="8" t="s">
        <v>809</v>
      </c>
      <c r="K15" s="28">
        <v>623</v>
      </c>
      <c r="L15" s="19">
        <v>62268519.399999991</v>
      </c>
      <c r="M15" s="19">
        <v>11228749.400000002</v>
      </c>
    </row>
    <row r="16" spans="2:13" x14ac:dyDescent="0.3">
      <c r="B16" s="8" t="s">
        <v>809</v>
      </c>
      <c r="C16" s="19">
        <v>62268519.399999991</v>
      </c>
      <c r="D16" s="19">
        <v>11228749.400000002</v>
      </c>
      <c r="J16" s="8" t="s">
        <v>806</v>
      </c>
      <c r="K16" s="28">
        <v>745</v>
      </c>
      <c r="L16" s="19">
        <v>2067371.1</v>
      </c>
      <c r="M16" s="19">
        <v>269657.10000000009</v>
      </c>
    </row>
    <row r="17" spans="2:13" x14ac:dyDescent="0.3">
      <c r="B17" s="8" t="s">
        <v>806</v>
      </c>
      <c r="C17" s="19">
        <v>2067371.1</v>
      </c>
      <c r="D17" s="19">
        <v>269657.10000000009</v>
      </c>
      <c r="F17" s="29" t="s">
        <v>837</v>
      </c>
      <c r="G17" t="s">
        <v>826</v>
      </c>
      <c r="H17" t="s">
        <v>827</v>
      </c>
      <c r="J17" s="8" t="s">
        <v>807</v>
      </c>
      <c r="K17" s="28">
        <v>800</v>
      </c>
      <c r="L17" s="19">
        <v>28391995.800000001</v>
      </c>
      <c r="M17" s="19">
        <v>4533175.8000000017</v>
      </c>
    </row>
    <row r="18" spans="2:13" x14ac:dyDescent="0.3">
      <c r="B18" s="8" t="s">
        <v>807</v>
      </c>
      <c r="C18" s="19">
        <v>28391995.800000001</v>
      </c>
      <c r="D18" s="19">
        <v>4533175.8000000017</v>
      </c>
      <c r="F18" s="8" t="s">
        <v>794</v>
      </c>
      <c r="G18" s="19">
        <v>4095440.95</v>
      </c>
      <c r="H18" s="19">
        <v>534187.95000000007</v>
      </c>
      <c r="J18" s="8" t="s">
        <v>825</v>
      </c>
      <c r="K18" s="28">
        <v>5131</v>
      </c>
      <c r="L18" s="19">
        <v>350107659.93000001</v>
      </c>
      <c r="M18" s="19">
        <v>62291005.930000007</v>
      </c>
    </row>
    <row r="19" spans="2:13" x14ac:dyDescent="0.3">
      <c r="B19" s="8" t="s">
        <v>825</v>
      </c>
      <c r="C19" s="19">
        <v>350107659.93000001</v>
      </c>
      <c r="D19" s="19">
        <v>62291005.930000007</v>
      </c>
      <c r="F19" s="8" t="s">
        <v>796</v>
      </c>
      <c r="G19" s="19">
        <v>315097199.46000004</v>
      </c>
      <c r="H19" s="19">
        <v>56820806.460000001</v>
      </c>
    </row>
    <row r="20" spans="2:13" x14ac:dyDescent="0.3">
      <c r="F20" s="8" t="s">
        <v>795</v>
      </c>
      <c r="G20" s="19">
        <v>30915019.520000003</v>
      </c>
      <c r="H20" s="19">
        <v>4936011.5200000005</v>
      </c>
    </row>
    <row r="21" spans="2:13" x14ac:dyDescent="0.3">
      <c r="B21" s="29" t="s">
        <v>838</v>
      </c>
      <c r="C21" t="s">
        <v>826</v>
      </c>
      <c r="D21" t="s">
        <v>827</v>
      </c>
      <c r="F21" s="8" t="s">
        <v>825</v>
      </c>
      <c r="G21" s="19">
        <v>350107659.93000001</v>
      </c>
      <c r="H21" s="19">
        <v>62291005.930000007</v>
      </c>
    </row>
    <row r="22" spans="2:13" x14ac:dyDescent="0.3">
      <c r="B22" s="8" t="s">
        <v>802</v>
      </c>
      <c r="C22" s="19">
        <v>62268519.399999991</v>
      </c>
      <c r="D22" s="19">
        <v>11228749.400000002</v>
      </c>
    </row>
    <row r="23" spans="2:13" x14ac:dyDescent="0.3">
      <c r="B23" s="8" t="s">
        <v>798</v>
      </c>
      <c r="C23" s="19">
        <v>2523023.7199999997</v>
      </c>
      <c r="D23" s="19">
        <v>402835.72</v>
      </c>
      <c r="F23" s="29" t="s">
        <v>853</v>
      </c>
      <c r="G23" t="s">
        <v>836</v>
      </c>
      <c r="H23" t="s">
        <v>832</v>
      </c>
    </row>
    <row r="24" spans="2:13" x14ac:dyDescent="0.3">
      <c r="B24" s="8" t="s">
        <v>799</v>
      </c>
      <c r="C24" s="19">
        <v>135004154.46000001</v>
      </c>
      <c r="D24" s="19">
        <v>24345011.460000001</v>
      </c>
      <c r="F24" s="8" t="s">
        <v>840</v>
      </c>
      <c r="G24">
        <v>58127987.040000007</v>
      </c>
      <c r="H24">
        <v>10433933.040000003</v>
      </c>
    </row>
    <row r="25" spans="2:13" x14ac:dyDescent="0.3">
      <c r="B25" s="8" t="s">
        <v>801</v>
      </c>
      <c r="C25" s="19">
        <v>2067371.1</v>
      </c>
      <c r="D25" s="19">
        <v>269657.10000000009</v>
      </c>
      <c r="F25" s="8" t="s">
        <v>841</v>
      </c>
      <c r="G25">
        <v>17804757.77</v>
      </c>
      <c r="H25">
        <v>3135052.7700000005</v>
      </c>
    </row>
    <row r="26" spans="2:13" x14ac:dyDescent="0.3">
      <c r="B26" s="8" t="s">
        <v>800</v>
      </c>
      <c r="C26" s="19">
        <v>117824525.59999998</v>
      </c>
      <c r="D26" s="19">
        <v>21247045.599999998</v>
      </c>
      <c r="F26" s="8" t="s">
        <v>842</v>
      </c>
      <c r="G26">
        <v>26522336.870000001</v>
      </c>
      <c r="H26">
        <v>4711788.8699999992</v>
      </c>
    </row>
    <row r="27" spans="2:13" x14ac:dyDescent="0.3">
      <c r="B27" s="8" t="s">
        <v>803</v>
      </c>
      <c r="C27" s="19">
        <v>28391995.800000001</v>
      </c>
      <c r="D27" s="19">
        <v>4533175.8000000017</v>
      </c>
      <c r="F27" s="8" t="s">
        <v>843</v>
      </c>
      <c r="G27">
        <v>38838427.359999999</v>
      </c>
      <c r="H27">
        <v>6939482.3599999994</v>
      </c>
    </row>
    <row r="28" spans="2:13" x14ac:dyDescent="0.3">
      <c r="B28" s="8" t="s">
        <v>797</v>
      </c>
      <c r="C28" s="19">
        <v>2028069.8499999999</v>
      </c>
      <c r="D28" s="19">
        <v>264530.84999999992</v>
      </c>
      <c r="F28" s="8" t="s">
        <v>844</v>
      </c>
      <c r="G28">
        <v>19677398.640000001</v>
      </c>
      <c r="H28">
        <v>3440226.64</v>
      </c>
    </row>
    <row r="29" spans="2:13" x14ac:dyDescent="0.3">
      <c r="B29" s="8" t="s">
        <v>825</v>
      </c>
      <c r="C29" s="19">
        <v>350107659.93000001</v>
      </c>
      <c r="D29" s="19">
        <v>62291005.930000007</v>
      </c>
      <c r="F29" s="8" t="s">
        <v>845</v>
      </c>
      <c r="G29">
        <v>16970935.139999997</v>
      </c>
      <c r="H29">
        <v>3021893.1400000006</v>
      </c>
    </row>
    <row r="30" spans="2:13" x14ac:dyDescent="0.3">
      <c r="F30" s="8" t="s">
        <v>846</v>
      </c>
      <c r="G30">
        <v>39377292.799999997</v>
      </c>
      <c r="H30">
        <v>6982806.7999999998</v>
      </c>
    </row>
    <row r="31" spans="2:13" x14ac:dyDescent="0.3">
      <c r="F31" s="8" t="s">
        <v>847</v>
      </c>
      <c r="G31">
        <v>25378629.749999996</v>
      </c>
      <c r="H31">
        <v>4520749.75</v>
      </c>
    </row>
    <row r="32" spans="2:13" x14ac:dyDescent="0.3">
      <c r="F32" s="8" t="s">
        <v>848</v>
      </c>
      <c r="G32">
        <v>28507529.870000005</v>
      </c>
      <c r="H32">
        <v>5081378.8699999982</v>
      </c>
    </row>
    <row r="33" spans="6:8" x14ac:dyDescent="0.3">
      <c r="F33" s="8" t="s">
        <v>849</v>
      </c>
      <c r="G33">
        <v>14423625.960000001</v>
      </c>
      <c r="H33">
        <v>2555085.96</v>
      </c>
    </row>
    <row r="34" spans="6:8" x14ac:dyDescent="0.3">
      <c r="F34" s="8" t="s">
        <v>850</v>
      </c>
      <c r="G34">
        <v>37917470.940000005</v>
      </c>
      <c r="H34">
        <v>6792838.9400000004</v>
      </c>
    </row>
    <row r="35" spans="6:8" x14ac:dyDescent="0.3">
      <c r="F35" s="8" t="s">
        <v>851</v>
      </c>
      <c r="G35">
        <v>26561267.790000007</v>
      </c>
      <c r="H35">
        <v>4675768.7899999991</v>
      </c>
    </row>
    <row r="36" spans="6:8" x14ac:dyDescent="0.3">
      <c r="F36" s="8" t="s">
        <v>852</v>
      </c>
    </row>
    <row r="37" spans="6:8" x14ac:dyDescent="0.3">
      <c r="F37" s="8" t="s">
        <v>825</v>
      </c>
      <c r="G37">
        <v>350107659.93000001</v>
      </c>
      <c r="H37">
        <v>62291005.929999992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1E8B-1029-461E-B903-E88DC2336CA5}">
  <dimension ref="A1"/>
  <sheetViews>
    <sheetView topLeftCell="A16" workbookViewId="0">
      <selection activeCell="N58" sqref="N5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Worksheet vs Analysis</vt:lpstr>
      <vt:lpstr>Worksheet vs Graph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Vandana Verma</cp:lastModifiedBy>
  <dcterms:created xsi:type="dcterms:W3CDTF">2026-04-01T13:39:55Z</dcterms:created>
  <dcterms:modified xsi:type="dcterms:W3CDTF">2026-04-06T06:55:28Z</dcterms:modified>
</cp:coreProperties>
</file>